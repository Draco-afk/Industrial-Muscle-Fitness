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สรุป" sheetId="1" state="visible" r:id="rId1"/>
    <sheet xmlns:r="http://schemas.openxmlformats.org/officeDocument/2006/relationships" name="BOM-เฟส1-ใช้งานได้จริง" sheetId="2" state="visible" r:id="rId2"/>
    <sheet xmlns:r="http://schemas.openxmlformats.org/officeDocument/2006/relationships" name="BOM-เฟส2-ทำให้ดูโปร" sheetId="3" state="visible" r:id="rId3"/>
    <sheet xmlns:r="http://schemas.openxmlformats.org/officeDocument/2006/relationships" name="BOM-เฟส3-รับเงินสด" sheetId="4" state="visible" r:id="rId4"/>
    <sheet xmlns:r="http://schemas.openxmlformats.org/officeDocument/2006/relationships" name="ข้อมูลจริง-เงินสด" sheetId="5" state="visible" r:id="rId5"/>
    <sheet xmlns:r="http://schemas.openxmlformats.org/officeDocument/2006/relationships" name="ยังไม่ควรซื้อ" sheetId="6" state="visible" r:id="rId6"/>
    <sheet xmlns:r="http://schemas.openxmlformats.org/officeDocument/2006/relationships" name="แบบโครงเหล็ก-รายการตัด" sheetId="7" state="visible" r:id="rId7"/>
    <sheet xmlns:r="http://schemas.openxmlformats.org/officeDocument/2006/relationships" name="เทียบทางเลือก" sheetId="8" state="visible" r:id="rId8"/>
    <sheet xmlns:r="http://schemas.openxmlformats.org/officeDocument/2006/relationships" name="ค่าใช้จ่ายรายเดือน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Leelawadee UI"/>
      <b val="1"/>
      <color rgb="00FFFFFF"/>
      <sz val="14"/>
    </font>
    <font>
      <name val="Leelawadee UI"/>
      <i val="1"/>
      <color rgb="007A4B00"/>
      <sz val="10"/>
    </font>
    <font>
      <name val="Leelawadee UI"/>
      <b val="1"/>
      <color rgb="00FFFFFF"/>
      <sz val="10"/>
    </font>
    <font>
      <name val="Leelawadee UI"/>
      <sz val="10"/>
    </font>
    <font>
      <name val="Leelawadee UI"/>
      <b val="1"/>
      <color rgb="00FFFFFF"/>
      <sz val="12"/>
    </font>
    <font>
      <name val="Leelawadee UI"/>
      <b val="1"/>
      <color rgb="00FFFFFF"/>
      <sz val="11"/>
    </font>
    <font>
      <name val="Leelawadee UI"/>
      <b val="1"/>
      <sz val="10"/>
    </font>
    <font>
      <name val="Leelawadee UI"/>
      <b val="1"/>
      <color rgb="00FFFFFF"/>
      <sz val="16"/>
    </font>
    <font>
      <name val="Leelawadee UI"/>
      <b val="1"/>
      <sz val="11"/>
    </font>
    <font>
      <name val="Leelawadee UI"/>
      <sz val="11"/>
    </font>
    <font>
      <name val="Leelawadee UI"/>
      <b val="1"/>
      <color rgb="00FFFFFF"/>
      <sz val="13"/>
    </font>
  </fonts>
  <fills count="10">
    <fill>
      <patternFill/>
    </fill>
    <fill>
      <patternFill patternType="gray125"/>
    </fill>
    <fill>
      <patternFill patternType="solid">
        <fgColor rgb="000F2A4A"/>
      </patternFill>
    </fill>
    <fill>
      <patternFill patternType="solid">
        <fgColor rgb="00FFF6E5"/>
      </patternFill>
    </fill>
    <fill>
      <patternFill patternType="solid">
        <fgColor rgb="00FDECEC"/>
      </patternFill>
    </fill>
    <fill>
      <patternFill patternType="solid">
        <fgColor rgb="00F7F9FC"/>
      </patternFill>
    </fill>
    <fill>
      <patternFill patternType="solid">
        <fgColor rgb="00E7F5EC"/>
      </patternFill>
    </fill>
    <fill>
      <patternFill patternType="solid">
        <fgColor rgb="00E8590C"/>
      </patternFill>
    </fill>
    <fill>
      <patternFill patternType="solid">
        <fgColor rgb="00FFFFFF"/>
      </patternFill>
    </fill>
    <fill>
      <patternFill patternType="solid">
        <fgColor rgb="00EEF2F7"/>
      </patternFill>
    </fill>
  </fills>
  <borders count="2">
    <border>
      <left/>
      <right/>
      <top/>
      <bottom/>
      <diagonal/>
    </border>
    <border>
      <left style="thin">
        <color rgb="00C9D3E0"/>
      </left>
      <right style="thin">
        <color rgb="00C9D3E0"/>
      </right>
      <top style="thin">
        <color rgb="00C9D3E0"/>
      </top>
      <bottom style="thin">
        <color rgb="00C9D3E0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8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/>
    </xf>
    <xf numFmtId="3" fontId="10" fillId="0" borderId="1" applyAlignment="1" pivotButton="0" quotePrefix="0" xfId="0">
      <alignment horizontal="right" vertical="center"/>
    </xf>
    <xf numFmtId="0" fontId="10" fillId="4" borderId="1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wrapText="1"/>
    </xf>
    <xf numFmtId="0" fontId="10" fillId="3" borderId="1" applyAlignment="1" pivotButton="0" quotePrefix="0" xfId="0">
      <alignment horizontal="center" vertical="center"/>
    </xf>
    <xf numFmtId="0" fontId="11" fillId="7" borderId="0" applyAlignment="1" pivotButton="0" quotePrefix="0" xfId="0">
      <alignment horizontal="left" vertical="center" indent="1"/>
    </xf>
    <xf numFmtId="3" fontId="11" fillId="7" borderId="0" applyAlignment="1" pivotButton="0" quotePrefix="0" xfId="0">
      <alignment horizontal="right" vertical="center" indent="1"/>
    </xf>
    <xf numFmtId="0" fontId="6" fillId="7" borderId="0" applyAlignment="1" pivotButton="0" quotePrefix="0" xfId="0">
      <alignment horizontal="left" vertical="center" indent="1"/>
    </xf>
    <xf numFmtId="0" fontId="11" fillId="2" borderId="0" applyAlignment="1" pivotButton="0" quotePrefix="0" xfId="0">
      <alignment horizontal="left" vertical="center" indent="1"/>
    </xf>
    <xf numFmtId="0" fontId="9" fillId="9" borderId="0" pivotButton="0" quotePrefix="0" xfId="0"/>
    <xf numFmtId="0" fontId="10" fillId="0" borderId="0" applyAlignment="1" pivotButton="0" quotePrefix="0" xfId="0">
      <alignment vertical="center" wrapText="1"/>
    </xf>
    <xf numFmtId="0" fontId="9" fillId="6" borderId="0" pivotButton="0" quotePrefix="0" xfId="0"/>
    <xf numFmtId="0" fontId="4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/>
    </xf>
    <xf numFmtId="0" fontId="4" fillId="0" borderId="1" applyAlignment="1" pivotButton="0" quotePrefix="0" xfId="0">
      <alignment horizontal="left" vertical="top" wrapText="1"/>
    </xf>
    <xf numFmtId="3" fontId="4" fillId="0" borderId="1" applyAlignment="1" pivotButton="0" quotePrefix="0" xfId="0">
      <alignment horizontal="right" vertical="top"/>
    </xf>
    <xf numFmtId="0" fontId="4" fillId="4" borderId="1" applyAlignment="1" pivotButton="0" quotePrefix="0" xfId="0">
      <alignment horizontal="center" vertical="top"/>
    </xf>
    <xf numFmtId="0" fontId="4" fillId="5" borderId="1" applyAlignment="1" pivotButton="0" quotePrefix="0" xfId="0">
      <alignment horizontal="center" vertical="top"/>
    </xf>
    <xf numFmtId="0" fontId="4" fillId="5" borderId="1" applyAlignment="1" pivotButton="0" quotePrefix="0" xfId="0">
      <alignment horizontal="left" vertical="top"/>
    </xf>
    <xf numFmtId="0" fontId="4" fillId="5" borderId="1" applyAlignment="1" pivotButton="0" quotePrefix="0" xfId="0">
      <alignment horizontal="left" vertical="top" wrapText="1"/>
    </xf>
    <xf numFmtId="3" fontId="4" fillId="5" borderId="1" applyAlignment="1" pivotButton="0" quotePrefix="0" xfId="0">
      <alignment horizontal="right" vertical="top"/>
    </xf>
    <xf numFmtId="0" fontId="4" fillId="6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center" vertical="top"/>
    </xf>
    <xf numFmtId="0" fontId="5" fillId="7" borderId="0" applyAlignment="1" pivotButton="0" quotePrefix="0" xfId="0">
      <alignment horizontal="right" vertical="center"/>
    </xf>
    <xf numFmtId="3" fontId="5" fillId="7" borderId="0" applyAlignment="1" pivotButton="0" quotePrefix="0" xfId="0">
      <alignment horizontal="right" vertical="center"/>
    </xf>
    <xf numFmtId="0" fontId="0" fillId="7" borderId="0" pivotButton="0" quotePrefix="0" xfId="0"/>
    <xf numFmtId="0" fontId="5" fillId="2" borderId="0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 wrapText="1"/>
    </xf>
    <xf numFmtId="0" fontId="6" fillId="7" borderId="0" applyAlignment="1" pivotButton="0" quotePrefix="0" xfId="0">
      <alignment horizontal="left" vertical="center"/>
    </xf>
    <xf numFmtId="3" fontId="6" fillId="7" borderId="0" applyAlignment="1" pivotButton="0" quotePrefix="0" xfId="0">
      <alignment horizontal="right" vertical="center"/>
    </xf>
    <xf numFmtId="0" fontId="2" fillId="6" borderId="0" applyAlignment="1" pivotButton="0" quotePrefix="0" xfId="0">
      <alignment horizontal="left" vertical="center" wrapText="1" indent="1"/>
    </xf>
    <xf numFmtId="0" fontId="7" fillId="5" borderId="1" applyAlignment="1" pivotButton="0" quotePrefix="0" xfId="0">
      <alignment horizontal="left" vertical="top"/>
    </xf>
    <xf numFmtId="0" fontId="7" fillId="0" borderId="1" applyAlignment="1" pivotButton="0" quotePrefix="0" xfId="0">
      <alignment horizontal="left" vertical="top"/>
    </xf>
    <xf numFmtId="0" fontId="5" fillId="7" borderId="0" applyAlignment="1" pivotButton="0" quotePrefix="0" xfId="0">
      <alignment horizontal="left" vertical="center" indent="1"/>
    </xf>
    <xf numFmtId="0" fontId="7" fillId="3" borderId="0" applyAlignment="1" pivotButton="0" quotePrefix="0" xfId="0">
      <alignment vertical="center" wrapText="1"/>
    </xf>
    <xf numFmtId="0" fontId="4" fillId="4" borderId="1" applyAlignment="1" pivotButton="0" quotePrefix="0" xfId="0">
      <alignment horizontal="left" vertical="top"/>
    </xf>
    <xf numFmtId="0" fontId="4" fillId="8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/>
    </xf>
    <xf numFmtId="0" fontId="4" fillId="8" borderId="1" applyAlignment="1" pivotButton="0" quotePrefix="0" xfId="0">
      <alignment horizontal="center" vertical="top"/>
    </xf>
    <xf numFmtId="3" fontId="4" fillId="8" borderId="1" applyAlignment="1" pivotButton="0" quotePrefix="0" xfId="0">
      <alignment horizontal="right" vertical="top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4" fillId="0" borderId="0" applyAlignment="1" pivotButton="0" quotePrefix="0" xfId="0">
      <alignment horizontal="left"/>
    </xf>
    <xf numFmtId="3" fontId="4" fillId="0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left" vertical="center"/>
    </xf>
    <xf numFmtId="3" fontId="7" fillId="6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vertical="top"/>
    </xf>
    <xf numFmtId="0" fontId="4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6" fillId="7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78" customWidth="1" min="4" max="4"/>
  </cols>
  <sheetData>
    <row r="1" ht="26" customHeight="1">
      <c r="A1" s="1" t="inlineStr">
        <is>
          <t>ตู้บริการตนเอง  Industrial Muscle Fitness  สรุปงบประมาณ</t>
        </is>
      </c>
    </row>
    <row r="2" ht="30" customHeight="1">
      <c r="A2" s="2" t="inlineStr">
        <is>
          <t>ราคาทั้งหมดเป็นค่าประมาณ ณ กันยายน 2569  ควรเช็คราคาจริงก่อนสั่งซื้อ  แก้ราคาในแท็บ BOM ได้เลย ตัวเลขในหน้านี้จะเปลี่ยนตาม</t>
        </is>
      </c>
    </row>
    <row r="3" ht="34" customHeight="1">
      <c r="A3" s="3" t="inlineStr">
        <is>
          <t>รายการ</t>
        </is>
      </c>
      <c r="B3" s="3" t="inlineStr">
        <is>
          <t>ราคา (บาท)</t>
        </is>
      </c>
      <c r="C3" s="3" t="inlineStr">
        <is>
          <t>ความสำคัญ</t>
        </is>
      </c>
      <c r="D3" s="3" t="inlineStr">
        <is>
          <t>ได้อะไร</t>
        </is>
      </c>
    </row>
    <row r="4" ht="40" customHeight="1">
      <c r="A4" s="4" t="inlineStr">
        <is>
          <t>เฟส 1  ตู้ที่ใช้งานได้จริง</t>
        </is>
      </c>
      <c r="B4" s="5">
        <f>'BOM-เฟส1-ใช้งานได้จริง'!H29</f>
        <v/>
      </c>
      <c r="C4" s="6" t="inlineStr">
        <is>
          <t>ต้องมี</t>
        </is>
      </c>
      <c r="D4" s="7" t="inlineStr">
        <is>
          <t>ครบทุกอย่างที่ทำให้ตู้เปิดใช้ได้จริง เช็คอิน ขายรายวัน ขายสินค้า พิมพ์ใบเสร็จ รับเงินผ่าน QR</t>
        </is>
      </c>
    </row>
    <row r="5" ht="40" customHeight="1">
      <c r="A5" s="4" t="inlineStr">
        <is>
          <t>เฟส 3  ระบบรับเงินสดและทอนเงิน</t>
        </is>
      </c>
      <c r="B5" s="5">
        <f>'BOM-เฟส3-รับเงินสด'!H15</f>
        <v/>
      </c>
      <c r="C5" s="6" t="inlineStr">
        <is>
          <t>ต้องมี</t>
        </is>
      </c>
      <c r="D5" s="7" t="inlineStr">
        <is>
          <t>ลูกค้าจ่ายเงินสด 52.5% จากข้อมูลจริง 870 บิล ถ้าไม่มีส่วนนี้ตู้ใช้ได้กับลูกค้าแค่ครึ่งเดียว</t>
        </is>
      </c>
    </row>
    <row r="6" ht="40" customHeight="1">
      <c r="A6" s="4" t="inlineStr">
        <is>
          <t>เฟส 2  ของเสริมให้ดูโปร</t>
        </is>
      </c>
      <c r="B6" s="5">
        <f>'BOM-เฟส2-ทำให้ดูโปร'!H13</f>
        <v/>
      </c>
      <c r="C6" s="8" t="inlineStr">
        <is>
          <t>ค่อยทำทีหลัง</t>
        </is>
      </c>
      <c r="D6" s="7" t="inlineStr">
        <is>
          <t>จอหน้า AI ไฟ LED UPS เน็ตสำรอง ทำทีหลังได้โดยไม่ต้องรื้อตู้</t>
        </is>
      </c>
    </row>
    <row r="7" ht="40" customHeight="1">
      <c r="A7" s="4" t="inlineStr">
        <is>
          <t>ค่าจ้างเชื่อม (ถ้าไม่มีตู้เชื่อมเอง)</t>
        </is>
      </c>
      <c r="B7" s="5" t="n">
        <v>2000</v>
      </c>
      <c r="C7" s="8" t="inlineStr">
        <is>
          <t>แล้วแต่</t>
        </is>
      </c>
      <c r="D7" s="7" t="inlineStr">
        <is>
          <t>ถ้ายืมเครื่องที่ฝึกงานได้ ตัดออก 2,000 บาท</t>
        </is>
      </c>
    </row>
    <row r="8" ht="30" customHeight="1">
      <c r="A8" s="9" t="inlineStr">
        <is>
          <t>รวมทั้งโครงการ (ทำครบทั้ง 3 เฟส)</t>
        </is>
      </c>
      <c r="B8" s="10">
        <f>SUM(B4:B7)</f>
        <v/>
      </c>
      <c r="C8" s="9" t="n"/>
      <c r="D8" s="11" t="inlineStr">
        <is>
          <t>เริ่มจากเฟส 1 + 3 ก็เปิดใช้ได้ครบ รับทั้งเงินสดและ QR = 56,860 บาท</t>
        </is>
      </c>
    </row>
    <row r="10" ht="26" customHeight="1">
      <c r="A10" s="12" t="inlineStr">
        <is>
          <t>คุ้มค่าไหม</t>
        </is>
      </c>
    </row>
    <row r="11" ht="32" customHeight="1">
      <c r="A11" s="13" t="inlineStr">
        <is>
          <t>ถ้าไม่ใส่ระบบเงินสด (เฟส 1 อย่างเดียว)</t>
        </is>
      </c>
      <c r="B11" s="14" t="inlineStr">
        <is>
          <t>ตู้ใช้ได้กับลูกค้าที่โอนเงินเท่านั้น = 47.5%  ตู้จึงรับงานได้จริงประมาณ 30% ของบิล ประหยัดค่าแรงประมาณ 1,080 บาทต่อเดือน  คืนทุนประมาณ 32 เดือน</t>
        </is>
      </c>
    </row>
    <row r="12" ht="32" customHeight="1">
      <c r="A12" s="13" t="inlineStr">
        <is>
          <t>ถ้าใส่ระบบเงินสดด้วย (เฟส 1 + 3)</t>
        </is>
      </c>
      <c r="B12" s="14" t="inlineStr">
        <is>
          <t>ตู้รับได้ทุกคน ตั้งเป้ารับงาน 60% ของบิล  ประหยัดค่าแรงประมาณ 2,160 บาทต่อเดือน  คืนทุนประมาณ 26 เดือน</t>
        </is>
      </c>
    </row>
    <row r="13" ht="32" customHeight="1">
      <c r="A13" s="13" t="inlineStr">
        <is>
          <t>ข้อสรุปที่ตัวเลขบอก</t>
        </is>
      </c>
      <c r="B13" s="14" t="inlineStr">
        <is>
          <t>ระบบเงินสดแพงขึ้น 22,790 บาท แต่คืนทุนเร็วขึ้น 6 เดือน เพราะตู้ใช้ได้กับลูกค้าทุกคนแทนที่จะได้แค่ครึ่งเดียว</t>
        </is>
      </c>
    </row>
    <row r="14" ht="32" customHeight="1">
      <c r="A14" s="13" t="inlineStr">
        <is>
          <t>งานที่เพิ่มขึ้นจากเงินสด</t>
        </is>
      </c>
      <c r="B14" s="14" t="inlineStr">
        <is>
          <t>เก็บเงินทุก 2-3 วัน และเติมเหรียญเดือนละครั้ง รวมประมาณ 2 ชั่วโมงต่อเดือน = ประมาณ 120 บาท  หักแล้วยังคุ้ม</t>
        </is>
      </c>
    </row>
    <row r="15" ht="32" customHeight="1">
      <c r="A15" s="13" t="inlineStr">
        <is>
          <t>สิ่งที่ตีเป็นเงินไม่ได้</t>
        </is>
      </c>
      <c r="B15" s="14" t="inlineStr">
        <is>
          <t>เปิดขายรายวันได้นอกเวลาพนักงาน / ไม่มีเงินสดหาย / ข้อมูลเข้าระบบครบทุกรายการอัตโนมัติ / ไม่มีคิวหน้าเคาน์เตอร์</t>
        </is>
      </c>
    </row>
    <row r="16" ht="32" customHeight="1">
      <c r="A16" s="13" t="inlineStr">
        <is>
          <t>ข้อเท็จจริงที่ต้องพูดตรง ๆ</t>
        </is>
      </c>
      <c r="B16" s="14" t="inlineStr">
        <is>
          <t>คืนทุน 26 เดือนถือว่าไม่เร็วถ้าดูเฉพาะตัวเงิน คุณค่าจริงอยู่ที่เปิดบริการได้ 24 ชั่วโมงและลดความผิดพลาดของข้อมูล</t>
        </is>
      </c>
    </row>
    <row r="18" ht="26" customHeight="1">
      <c r="A18" s="12" t="inlineStr">
        <is>
          <t>ซอฟต์แวร์  ระบบหลังบ้านพร้อมแล้ว 100%</t>
        </is>
      </c>
    </row>
    <row r="19" ht="46" customHeight="1">
      <c r="A19" s="15" t="inlineStr">
        <is>
          <t>ฟังก์ชันที่ตู้จะเรียกใช้ และมีอยู่แล้ว</t>
        </is>
      </c>
      <c r="B19" s="16" t="inlineStr">
        <is>
          <t>loginMember (เบอร์+PIN) / manualCheckIn (เช็คอิน) / fingerprintWebhook (สแกนนิ้ว) / getDailyPassPrices / processDailyPayment (ขายรายวัน) / getProductList / getPaymentQRInfo / generateDailyReceiptPDF</t>
        </is>
      </c>
    </row>
    <row r="20" ht="46" customHeight="1">
      <c r="A20" s="15" t="inlineStr">
        <is>
          <t>สิ่งที่ต้องเขียนเพิ่ม</t>
        </is>
      </c>
      <c r="B20" s="16" t="inlineStr">
        <is>
          <t>หน้าเว็บสำหรับตู้โดยเฉพาะ แนวตั้ง ปุ่มใหญ่ กลับหน้าแรกเองเมื่อไม่มีคนใช้ 60 วินาที</t>
        </is>
      </c>
    </row>
    <row r="21" ht="46" customHeight="1">
      <c r="A21" s="15" t="inlineStr">
        <is>
          <t>สิ่งที่ต้องตั้งค่าเพิ่ม</t>
        </is>
      </c>
      <c r="B21" s="16" t="inlineStr">
        <is>
          <t>สร้างบัญชีผู้ดูแลแยกสำหรับตู้ 1 บัญชี เพราะฟังก์ชันส่วนใหญ่ต้องยืนยันสิทธิ์ระดับผู้ดูแล</t>
        </is>
      </c>
    </row>
    <row r="22" ht="46" customHeight="1">
      <c r="A22" s="15" t="inlineStr">
        <is>
          <t>ข้อจำกัดที่ต้องรู้</t>
        </is>
      </c>
      <c r="B22" s="16" t="inlineStr">
        <is>
          <t>QR รับเงินตอนนี้เป็นรูปนิ่งที่ไม่ระบุยอด การยืนยันว่าเงินเข้าแล้วยังต้องใช้คนกดยืนยัน ถ้าอยากให้ตู้ตรวจเองต้องเพิ่มบริการตรวจสลิป ประมาณ 350 บาทต่อเดือน แล้วให้ลูกค้าเอาสลิปมาจ่อที่ช่องสแกนเดิม</t>
        </is>
      </c>
    </row>
  </sheetData>
  <mergeCells count="14">
    <mergeCell ref="B11:D11"/>
    <mergeCell ref="A1:D1"/>
    <mergeCell ref="A18:D18"/>
    <mergeCell ref="B19:D19"/>
    <mergeCell ref="B14:D14"/>
    <mergeCell ref="B15:D15"/>
    <mergeCell ref="B22:D22"/>
    <mergeCell ref="B13:D13"/>
    <mergeCell ref="B21:D21"/>
    <mergeCell ref="A2:D2"/>
    <mergeCell ref="B12:D12"/>
    <mergeCell ref="A10:D10"/>
    <mergeCell ref="B16:D16"/>
    <mergeCell ref="B20:D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24" customWidth="1" min="3" max="3"/>
    <col width="34" customWidth="1" min="4" max="4"/>
    <col width="7" customWidth="1" min="5" max="5"/>
    <col width="7" customWidth="1" min="6" max="6"/>
    <col width="14" customWidth="1" min="7" max="7"/>
    <col width="13" customWidth="1" min="8" max="8"/>
    <col width="12" customWidth="1" min="9" max="9"/>
    <col width="7" customWidth="1" min="10" max="10"/>
    <col width="12" customWidth="1" min="11" max="11"/>
    <col width="30" customWidth="1" min="12" max="12"/>
    <col width="62" customWidth="1" min="13" max="13"/>
  </cols>
  <sheetData>
    <row r="1" ht="26" customHeight="1">
      <c r="A1" s="17" t="inlineStr">
        <is>
          <t>เฟส 1  ตู้ที่ใช้งานได้จริง  (ต้องมีครบถึงจะเปิดใช้ได้)</t>
        </is>
      </c>
    </row>
    <row r="2" ht="30" customHeight="1">
      <c r="A2" s="2" t="inlineStr">
        <is>
          <t>ราคาเป็นค่าประมาณจาก Shopee / Lazada / ร้านวัสดุ ณ กันยายน 2569  แก้ตัวเลขในช่อง ราคา/หน่วย ได้เลย ยอดรวมจะคิดใหม่เอง  ควรเช็คราคาจริงอีกครั้งก่อนสั่งซื้อเพราะราคาอิเล็กทรอนิกส์ขยับบ่อย</t>
        </is>
      </c>
    </row>
    <row r="3" ht="34" customHeight="1">
      <c r="A3" s="3" t="inlineStr">
        <is>
          <t>ลำดับ</t>
        </is>
      </c>
      <c r="B3" s="3" t="inlineStr">
        <is>
          <t>หมวด</t>
        </is>
      </c>
      <c r="C3" s="3" t="inlineStr">
        <is>
          <t>รายการ</t>
        </is>
      </c>
      <c r="D3" s="3" t="inlineStr">
        <is>
          <t>สเปก / รุ่นแนะนำ</t>
        </is>
      </c>
      <c r="E3" s="3" t="inlineStr">
        <is>
          <t>จำนวน</t>
        </is>
      </c>
      <c r="F3" s="3" t="inlineStr">
        <is>
          <t>หน่วย</t>
        </is>
      </c>
      <c r="G3" s="3" t="inlineStr">
        <is>
          <t>ราคา/หน่วย (บาท)</t>
        </is>
      </c>
      <c r="H3" s="3" t="inlineStr">
        <is>
          <t>รวม (บาท)</t>
        </is>
      </c>
      <c r="I3" s="3" t="inlineStr">
        <is>
          <t>ความคุ้มค่า</t>
        </is>
      </c>
      <c r="J3" s="3" t="inlineStr">
        <is>
          <t>คะแนน</t>
        </is>
      </c>
      <c r="K3" s="3" t="inlineStr">
        <is>
          <t>ความสำคัญ</t>
        </is>
      </c>
      <c r="L3" s="3" t="inlineStr">
        <is>
          <t>ซื้อที่ไหน</t>
        </is>
      </c>
      <c r="M3" s="3" t="inlineStr">
        <is>
          <t>ทำไมเลือกตัวนี้ / ข้อควรระวัง</t>
        </is>
      </c>
    </row>
    <row r="4" ht="44" customHeight="1">
      <c r="A4" s="18" t="n">
        <v>1</v>
      </c>
      <c r="B4" s="19" t="inlineStr">
        <is>
          <t>สมองกล</t>
        </is>
      </c>
      <c r="C4" s="20" t="inlineStr">
        <is>
          <t>Mini PC</t>
        </is>
      </c>
      <c r="D4" s="20" t="inlineStr">
        <is>
          <t>Intel N100 / RAM 16GB / SSD 512GB / มี HDMI 2 ช่อง</t>
        </is>
      </c>
      <c r="E4" s="18" t="n">
        <v>1</v>
      </c>
      <c r="F4" s="18" t="inlineStr">
        <is>
          <t>เครื่อง</t>
        </is>
      </c>
      <c r="G4" s="21" t="n">
        <v>5900</v>
      </c>
      <c r="H4" s="21">
        <f>E4*G4</f>
        <v/>
      </c>
      <c r="I4" s="18" t="inlineStr">
        <is>
          <t>★★★★★</t>
        </is>
      </c>
      <c r="J4" s="18" t="n">
        <v>5</v>
      </c>
      <c r="K4" s="22" t="inlineStr">
        <is>
          <t>ต้องมี</t>
        </is>
      </c>
      <c r="L4" s="20" t="inlineStr">
        <is>
          <t>Shopee, Lazada (Beelink / GMKtec / Chuwi)</t>
        </is>
      </c>
      <c r="M4" s="20" t="inlineStr">
        <is>
          <t>กินไฟแค่ ~12W เปิด 24 ชม. ได้ รัน Chrome kiosk สบาย ถูกกว่าและเสถียรกว่า Raspberry Pi เมื่อรวมของครบชุด และต่อเครื่องพิมพ์สลิปได้โดยไม่ต้องหาไดรเวอร์ Linux</t>
        </is>
      </c>
    </row>
    <row r="5" ht="44" customHeight="1">
      <c r="A5" s="23" t="n">
        <v>2</v>
      </c>
      <c r="B5" s="24" t="inlineStr">
        <is>
          <t>จอแสดงผล</t>
        </is>
      </c>
      <c r="C5" s="25" t="inlineStr">
        <is>
          <t>จอสัมผัส 21.5 นิ้ว</t>
        </is>
      </c>
      <c r="D5" s="25" t="inlineStr">
        <is>
          <t>Capacitive 10 จุด, USB touch, HDMI, ติดตั้งแนวตั้ง</t>
        </is>
      </c>
      <c r="E5" s="23" t="n">
        <v>1</v>
      </c>
      <c r="F5" s="23" t="inlineStr">
        <is>
          <t>จอ</t>
        </is>
      </c>
      <c r="G5" s="26" t="n">
        <v>7500</v>
      </c>
      <c r="H5" s="26">
        <f>E5*G5</f>
        <v/>
      </c>
      <c r="I5" s="23" t="inlineStr">
        <is>
          <t>★★★★☆</t>
        </is>
      </c>
      <c r="J5" s="23" t="n">
        <v>4</v>
      </c>
      <c r="K5" s="22" t="inlineStr">
        <is>
          <t>ต้องมี</t>
        </is>
      </c>
      <c r="L5" s="25" t="inlineStr">
        <is>
          <t>Shopee/Lazada ร้านอุปกรณ์ POS, JIB, Advice</t>
        </is>
      </c>
      <c r="M5" s="25" t="inlineStr">
        <is>
          <t>ตัวแพงสุดในตู้ ถ้างบตึงใช้ 15.6 นิ้ว (~4,500) ตู้จะแคบลงเหลือ 320mm ด้วย ประหยัดค่าเหล็กอีก แต่ 21.5 นิ้วดูเป็นงานกว่ามากเวลานำเสนอ</t>
        </is>
      </c>
    </row>
    <row r="6" ht="44" customHeight="1">
      <c r="A6" s="18" t="n">
        <v>3</v>
      </c>
      <c r="B6" s="19" t="inlineStr">
        <is>
          <t>จอแสดงผล</t>
        </is>
      </c>
      <c r="C6" s="20" t="inlineStr">
        <is>
          <t>ขายึดจอ VESA 100</t>
        </is>
      </c>
      <c r="D6" s="20" t="inlineStr">
        <is>
          <t>เหล็ก ปรับองศาได้ 0-20 องศา</t>
        </is>
      </c>
      <c r="E6" s="18" t="n">
        <v>1</v>
      </c>
      <c r="F6" s="18" t="inlineStr">
        <is>
          <t>ชุด</t>
        </is>
      </c>
      <c r="G6" s="21" t="n">
        <v>350</v>
      </c>
      <c r="H6" s="21">
        <f>E6*G6</f>
        <v/>
      </c>
      <c r="I6" s="18" t="inlineStr">
        <is>
          <t>★★★★★</t>
        </is>
      </c>
      <c r="J6" s="18" t="n">
        <v>5</v>
      </c>
      <c r="K6" s="22" t="inlineStr">
        <is>
          <t>ต้องมี</t>
        </is>
      </c>
      <c r="L6" s="20" t="inlineStr">
        <is>
          <t>Lazada, Shopee</t>
        </is>
      </c>
      <c r="M6" s="20" t="inlineStr">
        <is>
          <t>ยึดจอเข้าโครงเหล็ก ปรับเอียง 12 องศาเพื่อลดแสงสะท้อนจากไฟเพดานยิม</t>
        </is>
      </c>
    </row>
    <row r="7" ht="44" customHeight="1">
      <c r="A7" s="23" t="n">
        <v>4</v>
      </c>
      <c r="B7" s="24" t="inlineStr">
        <is>
          <t>รับข้อมูล</t>
        </is>
      </c>
      <c r="C7" s="25" t="inlineStr">
        <is>
          <t>เครื่องสแกน QR/บาร์โค้ด</t>
        </is>
      </c>
      <c r="D7" s="25" t="inlineStr">
        <is>
          <t>2D CMOS แบบฝังหน้าตู้ USB (GM65 / DE2120 / LV3296)</t>
        </is>
      </c>
      <c r="E7" s="23" t="n">
        <v>1</v>
      </c>
      <c r="F7" s="23" t="inlineStr">
        <is>
          <t>ตัว</t>
        </is>
      </c>
      <c r="G7" s="26" t="n">
        <v>1590</v>
      </c>
      <c r="H7" s="26">
        <f>E7*G7</f>
        <v/>
      </c>
      <c r="I7" s="23" t="inlineStr">
        <is>
          <t>★★★★★</t>
        </is>
      </c>
      <c r="J7" s="23" t="n">
        <v>5</v>
      </c>
      <c r="K7" s="22" t="inlineStr">
        <is>
          <t>ต้องมี</t>
        </is>
      </c>
      <c r="L7" s="25" t="inlineStr">
        <is>
          <t>Shopee, Cybertronix, ThaiEasyElec</t>
        </is>
      </c>
      <c r="M7" s="25" t="inlineStr">
        <is>
          <t>ตัวนี้ทำได้ 3 อย่างด้วยของชิ้นเดียว อ่าน QR บัตรสมาชิก อ่านบาร์โค้ดสินค้า และอ่าน QR บนสลิปโอนเงินเพื่อตรวจสอบยอด คุ้มที่สุดในตู้</t>
        </is>
      </c>
    </row>
    <row r="8" ht="44" customHeight="1">
      <c r="A8" s="18" t="n">
        <v>5</v>
      </c>
      <c r="B8" s="19" t="inlineStr">
        <is>
          <t>รับข้อมูล</t>
        </is>
      </c>
      <c r="C8" s="20" t="inlineStr">
        <is>
          <t>เครื่องสแกนลายนิ้วมือ</t>
        </is>
      </c>
      <c r="D8" s="20" t="inlineStr">
        <is>
          <t>ของยิมที่ใช้อยู่แล้ว ย้ายมาติดหน้าตู้</t>
        </is>
      </c>
      <c r="E8" s="18" t="n">
        <v>0</v>
      </c>
      <c r="F8" s="18" t="inlineStr">
        <is>
          <t>ตัว</t>
        </is>
      </c>
      <c r="G8" s="21" t="n">
        <v>0</v>
      </c>
      <c r="H8" s="21">
        <f>E8*G8</f>
        <v/>
      </c>
      <c r="I8" s="18" t="inlineStr">
        <is>
          <t>★★★★★</t>
        </is>
      </c>
      <c r="J8" s="18" t="n">
        <v>5</v>
      </c>
      <c r="K8" s="27" t="inlineStr">
        <is>
          <t>มีอยู่แล้ว</t>
        </is>
      </c>
      <c r="L8" s="20" t="inlineStr">
        <is>
          <t>ไม่ต้องซื้อ</t>
        </is>
      </c>
      <c r="M8" s="20" t="inlineStr">
        <is>
          <t>ระบบมี fingerprintWebhook รองรับอยู่แล้ว แค่ย้ายเครื่องเดิมมาติดที่ตู้และเปลี่ยน URL เป็น asia-southeast1 ประหยัดไปประมาณ 3,900 บาท</t>
        </is>
      </c>
    </row>
    <row r="9" ht="44" customHeight="1">
      <c r="A9" s="23" t="n">
        <v>6</v>
      </c>
      <c r="B9" s="24" t="inlineStr">
        <is>
          <t>พิมพ์/เสียง</t>
        </is>
      </c>
      <c r="C9" s="25" t="inlineStr">
        <is>
          <t>เครื่องพิมพ์ใบเสร็จ 80mm</t>
        </is>
      </c>
      <c r="D9" s="25" t="inlineStr">
        <is>
          <t>Thermal panel printer ฝังหน้าตู้ USB ตัดกระดาษอัตโนมัติ</t>
        </is>
      </c>
      <c r="E9" s="23" t="n">
        <v>1</v>
      </c>
      <c r="F9" s="23" t="inlineStr">
        <is>
          <t>เครื่อง</t>
        </is>
      </c>
      <c r="G9" s="26" t="n">
        <v>2890</v>
      </c>
      <c r="H9" s="26">
        <f>E9*G9</f>
        <v/>
      </c>
      <c r="I9" s="23" t="inlineStr">
        <is>
          <t>★★★★☆</t>
        </is>
      </c>
      <c r="J9" s="23" t="n">
        <v>4</v>
      </c>
      <c r="K9" s="22" t="inlineStr">
        <is>
          <t>ต้องมี</t>
        </is>
      </c>
      <c r="L9" s="25" t="inlineStr">
        <is>
          <t>Shopee/Lazada ร้าน POS</t>
        </is>
      </c>
      <c r="M9" s="25" t="inlineStr">
        <is>
          <t>ต้องเลือกรุ่นแบบฝัง (panel/embedded) ไม่ใช่แบบตั้งโต๊ะ ราคาต่างกันไม่มากแต่หน้าตู้จะเรียบร้อยกว่ามาก</t>
        </is>
      </c>
    </row>
    <row r="10" ht="44" customHeight="1">
      <c r="A10" s="18" t="n">
        <v>7</v>
      </c>
      <c r="B10" s="19" t="inlineStr">
        <is>
          <t>พิมพ์/เสียง</t>
        </is>
      </c>
      <c r="C10" s="20" t="inlineStr">
        <is>
          <t>กระดาษความร้อน 80mm</t>
        </is>
      </c>
      <c r="D10" s="20" t="inlineStr">
        <is>
          <t>แพ็ค 10 ม้วน</t>
        </is>
      </c>
      <c r="E10" s="18" t="n">
        <v>1</v>
      </c>
      <c r="F10" s="18" t="inlineStr">
        <is>
          <t>แพ็ค</t>
        </is>
      </c>
      <c r="G10" s="21" t="n">
        <v>320</v>
      </c>
      <c r="H10" s="21">
        <f>E10*G10</f>
        <v/>
      </c>
      <c r="I10" s="18" t="inlineStr">
        <is>
          <t>★★★★★</t>
        </is>
      </c>
      <c r="J10" s="18" t="n">
        <v>5</v>
      </c>
      <c r="K10" s="22" t="inlineStr">
        <is>
          <t>ต้องมี</t>
        </is>
      </c>
      <c r="L10" s="20" t="inlineStr">
        <is>
          <t>Shopee</t>
        </is>
      </c>
      <c r="M10" s="20" t="inlineStr">
        <is>
          <t>1 ม้วนพิมพ์ได้ประมาณ 400 ใบเสร็จ ที่ยิมออกวันละ 15-20 ใบ ใช้ได้ประมาณ 3 สัปดาห์ต่อม้วน</t>
        </is>
      </c>
    </row>
    <row r="11" ht="44" customHeight="1">
      <c r="A11" s="23" t="n">
        <v>8</v>
      </c>
      <c r="B11" s="24" t="inlineStr">
        <is>
          <t>พิมพ์/เสียง</t>
        </is>
      </c>
      <c r="C11" s="25" t="inlineStr">
        <is>
          <t>ลำโพง + แอมป์จิ๋ว</t>
        </is>
      </c>
      <c r="D11" s="25" t="inlineStr">
        <is>
          <t>PAM8403 + ดอกลำโพง 5W x2</t>
        </is>
      </c>
      <c r="E11" s="23" t="n">
        <v>1</v>
      </c>
      <c r="F11" s="23" t="inlineStr">
        <is>
          <t>ชุด</t>
        </is>
      </c>
      <c r="G11" s="26" t="n">
        <v>590</v>
      </c>
      <c r="H11" s="26">
        <f>E11*G11</f>
        <v/>
      </c>
      <c r="I11" s="23" t="inlineStr">
        <is>
          <t>★★★☆☆</t>
        </is>
      </c>
      <c r="J11" s="23" t="n">
        <v>3</v>
      </c>
      <c r="K11" s="28" t="inlineStr">
        <is>
          <t>ควรมี</t>
        </is>
      </c>
      <c r="L11" s="25" t="inlineStr">
        <is>
          <t>บ้านหม้อ, Lazada</t>
        </is>
      </c>
      <c r="M11" s="25" t="inlineStr">
        <is>
          <t>เสียงตอบรับตอนสแกนผ่าน/ไม่ผ่าน สำคัญกว่าที่คิด เพราะยิมเสียงดัง ลูกค้ามักไม่มองจอ</t>
        </is>
      </c>
    </row>
    <row r="12" ht="44" customHeight="1">
      <c r="A12" s="18" t="n">
        <v>9</v>
      </c>
      <c r="B12" s="19" t="inlineStr">
        <is>
          <t>ไฟฟ้า</t>
        </is>
      </c>
      <c r="C12" s="20" t="inlineStr">
        <is>
          <t>เต้ารับกันดูด RCD 16A</t>
        </is>
      </c>
      <c r="D12" s="20" t="inlineStr">
        <is>
          <t>ตัดไฟที่ 30mA</t>
        </is>
      </c>
      <c r="E12" s="18" t="n">
        <v>1</v>
      </c>
      <c r="F12" s="18" t="inlineStr">
        <is>
          <t>ตัว</t>
        </is>
      </c>
      <c r="G12" s="21" t="n">
        <v>650</v>
      </c>
      <c r="H12" s="21">
        <f>E12*G12</f>
        <v/>
      </c>
      <c r="I12" s="18" t="inlineStr">
        <is>
          <t>★★★★★</t>
        </is>
      </c>
      <c r="J12" s="18" t="n">
        <v>5</v>
      </c>
      <c r="K12" s="22" t="inlineStr">
        <is>
          <t>ต้องมี</t>
        </is>
      </c>
      <c r="L12" s="20" t="inlineStr">
        <is>
          <t>HomePro, ไทวัสดุ, Global House</t>
        </is>
      </c>
      <c r="M12" s="20" t="inlineStr">
        <is>
          <t>ห้ามข้ามข้อนี้ ตู้เป็นเหล็กทั้งใบและอยู่ในยิมที่คนเหงื่อออก ถ้าไฟรั่วลงโครงแล้วไม่มี RCD คือถึงตาย ราคา 650 บาทถูกที่สุดในบรรดาของที่ซื้อ</t>
        </is>
      </c>
    </row>
    <row r="13" ht="44" customHeight="1">
      <c r="A13" s="23" t="n">
        <v>10</v>
      </c>
      <c r="B13" s="24" t="inlineStr">
        <is>
          <t>ไฟฟ้า</t>
        </is>
      </c>
      <c r="C13" s="25" t="inlineStr">
        <is>
          <t>เบรกเกอร์ 2P 6A + กล่อง</t>
        </is>
      </c>
      <c r="D13" s="25" t="inlineStr">
        <is>
          <t>Schneider หรือ Panasonic</t>
        </is>
      </c>
      <c r="E13" s="23" t="n">
        <v>1</v>
      </c>
      <c r="F13" s="23" t="inlineStr">
        <is>
          <t>ชุด</t>
        </is>
      </c>
      <c r="G13" s="26" t="n">
        <v>420</v>
      </c>
      <c r="H13" s="26">
        <f>E13*G13</f>
        <v/>
      </c>
      <c r="I13" s="23" t="inlineStr">
        <is>
          <t>★★★★★</t>
        </is>
      </c>
      <c r="J13" s="23" t="n">
        <v>5</v>
      </c>
      <c r="K13" s="22" t="inlineStr">
        <is>
          <t>ต้องมี</t>
        </is>
      </c>
      <c r="L13" s="25" t="inlineStr">
        <is>
          <t>HomePro, ไทวัสดุ</t>
        </is>
      </c>
      <c r="M13" s="25" t="inlineStr">
        <is>
          <t>ไว้ตัดไฟทั้งตู้ตอนเปิดฝาซ่อม และกันไฟเกิน</t>
        </is>
      </c>
    </row>
    <row r="14" ht="44" customHeight="1">
      <c r="A14" s="18" t="n">
        <v>11</v>
      </c>
      <c r="B14" s="19" t="inlineStr">
        <is>
          <t>ไฟฟ้า</t>
        </is>
      </c>
      <c r="C14" s="20" t="inlineStr">
        <is>
          <t>ปลั๊กราง 4 ช่อง มอก.</t>
        </is>
      </c>
      <c r="D14" s="20" t="inlineStr">
        <is>
          <t>มีสายดิน มีสวิตช์ มีตัดไฟเกิน</t>
        </is>
      </c>
      <c r="E14" s="18" t="n">
        <v>1</v>
      </c>
      <c r="F14" s="18" t="inlineStr">
        <is>
          <t>อัน</t>
        </is>
      </c>
      <c r="G14" s="21" t="n">
        <v>390</v>
      </c>
      <c r="H14" s="21">
        <f>E14*G14</f>
        <v/>
      </c>
      <c r="I14" s="18" t="inlineStr">
        <is>
          <t>★★★★★</t>
        </is>
      </c>
      <c r="J14" s="18" t="n">
        <v>5</v>
      </c>
      <c r="K14" s="22" t="inlineStr">
        <is>
          <t>ต้องมี</t>
        </is>
      </c>
      <c r="L14" s="20" t="inlineStr">
        <is>
          <t>ไทวัสดุ, HomePro</t>
        </is>
      </c>
      <c r="M14" s="20" t="inlineStr">
        <is>
          <t>ต้องเป็นรุ่นมี มอก. และมีขากราวด์ครบ 3 ขา อย่าใช้ปลั๊กรางถูก ๆ ในตู้ปิด</t>
        </is>
      </c>
    </row>
    <row r="15" ht="44" customHeight="1">
      <c r="A15" s="23" t="n">
        <v>12</v>
      </c>
      <c r="B15" s="24" t="inlineStr">
        <is>
          <t>ไฟฟ้า</t>
        </is>
      </c>
      <c r="C15" s="25" t="inlineStr">
        <is>
          <t>Power Supply 12V 10A</t>
        </is>
      </c>
      <c r="D15" s="25" t="inlineStr">
        <is>
          <t>Meanwell LRS-120-12 หรือเทียบเท่า</t>
        </is>
      </c>
      <c r="E15" s="23" t="n">
        <v>1</v>
      </c>
      <c r="F15" s="23" t="inlineStr">
        <is>
          <t>ตัว</t>
        </is>
      </c>
      <c r="G15" s="26" t="n">
        <v>780</v>
      </c>
      <c r="H15" s="26">
        <f>E15*G15</f>
        <v/>
      </c>
      <c r="I15" s="23" t="inlineStr">
        <is>
          <t>★★★★★</t>
        </is>
      </c>
      <c r="J15" s="23" t="n">
        <v>5</v>
      </c>
      <c r="K15" s="22" t="inlineStr">
        <is>
          <t>ต้องมี</t>
        </is>
      </c>
      <c r="L15" s="25" t="inlineStr">
        <is>
          <t>Lazada, บ้านหม้อ, อีเลคทรอนิคส์ซอร์ส</t>
        </is>
      </c>
      <c r="M15" s="25" t="inlineStr">
        <is>
          <t>จ่ายไฟพัดลม ไฟ LED และลำโพง เลือก Meanwell เพราะตู้ต้องเปิด 24 ชม. ของถูกมักพังใน 6 เดือน</t>
        </is>
      </c>
    </row>
    <row r="16" ht="44" customHeight="1">
      <c r="A16" s="18" t="n">
        <v>13</v>
      </c>
      <c r="B16" s="19" t="inlineStr">
        <is>
          <t>ไฟฟ้า</t>
        </is>
      </c>
      <c r="C16" s="20" t="inlineStr">
        <is>
          <t>พัดลมระบายความร้อน 80mm</t>
        </is>
      </c>
      <c r="D16" s="20" t="inlineStr">
        <is>
          <t>12V + ตะแกรง + ฟิลเตอร์กันฝุ่น</t>
        </is>
      </c>
      <c r="E16" s="18" t="n">
        <v>2</v>
      </c>
      <c r="F16" s="18" t="inlineStr">
        <is>
          <t>ตัว</t>
        </is>
      </c>
      <c r="G16" s="21" t="n">
        <v>160</v>
      </c>
      <c r="H16" s="21">
        <f>E16*G16</f>
        <v/>
      </c>
      <c r="I16" s="18" t="inlineStr">
        <is>
          <t>★★★★★</t>
        </is>
      </c>
      <c r="J16" s="18" t="n">
        <v>5</v>
      </c>
      <c r="K16" s="22" t="inlineStr">
        <is>
          <t>ต้องมี</t>
        </is>
      </c>
      <c r="L16" s="20" t="inlineStr">
        <is>
          <t>บ้านหม้อ, Lazada</t>
        </is>
      </c>
      <c r="M16" s="20" t="inlineStr">
        <is>
          <t>ติดแบบลมเข้าด้านล่าง ออกด้านบน ตู้เหล็กปิดในยิมที่ไม่มีแอร์ตลอดจะร้อนจัด ต้องมีฟิลเตอร์เพราะยิมฝุ่นเยอะ</t>
        </is>
      </c>
    </row>
    <row r="17" ht="44" customHeight="1">
      <c r="A17" s="23" t="n">
        <v>14</v>
      </c>
      <c r="B17" s="24" t="inlineStr">
        <is>
          <t>ไฟฟ้า</t>
        </is>
      </c>
      <c r="C17" s="25" t="inlineStr">
        <is>
          <t>สายไฟ VCT 3x1.0 + cable gland</t>
        </is>
      </c>
      <c r="D17" s="25" t="inlineStr">
        <is>
          <t>ยาว 5 เมตร</t>
        </is>
      </c>
      <c r="E17" s="23" t="n">
        <v>1</v>
      </c>
      <c r="F17" s="23" t="inlineStr">
        <is>
          <t>ชุด</t>
        </is>
      </c>
      <c r="G17" s="26" t="n">
        <v>350</v>
      </c>
      <c r="H17" s="26">
        <f>E17*G17</f>
        <v/>
      </c>
      <c r="I17" s="23" t="inlineStr">
        <is>
          <t>★★★★★</t>
        </is>
      </c>
      <c r="J17" s="23" t="n">
        <v>5</v>
      </c>
      <c r="K17" s="22" t="inlineStr">
        <is>
          <t>ต้องมี</t>
        </is>
      </c>
      <c r="L17" s="25" t="inlineStr">
        <is>
          <t>ไทวัสดุ</t>
        </is>
      </c>
      <c r="M17" s="25" t="inlineStr">
        <is>
          <t>3 แกนเพราะต้องมีสายดิน cable gland กันสายบาดกับขอบรูเหล็ก</t>
        </is>
      </c>
    </row>
    <row r="18" ht="44" customHeight="1">
      <c r="A18" s="18" t="n">
        <v>15</v>
      </c>
      <c r="B18" s="19" t="inlineStr">
        <is>
          <t>ไฟฟ้า</t>
        </is>
      </c>
      <c r="C18" s="20" t="inlineStr">
        <is>
          <t>สายกราวด์ 2.5 sq.mm + หางปลา</t>
        </is>
      </c>
      <c r="D18" s="20" t="inlineStr">
        <is>
          <t>สีเขียว-เหลือง</t>
        </is>
      </c>
      <c r="E18" s="18" t="n">
        <v>1</v>
      </c>
      <c r="F18" s="18" t="inlineStr">
        <is>
          <t>ชุด</t>
        </is>
      </c>
      <c r="G18" s="21" t="n">
        <v>150</v>
      </c>
      <c r="H18" s="21">
        <f>E18*G18</f>
        <v/>
      </c>
      <c r="I18" s="18" t="inlineStr">
        <is>
          <t>★★★★★</t>
        </is>
      </c>
      <c r="J18" s="18" t="n">
        <v>5</v>
      </c>
      <c r="K18" s="22" t="inlineStr">
        <is>
          <t>ต้องมี</t>
        </is>
      </c>
      <c r="L18" s="20" t="inlineStr">
        <is>
          <t>ไทวัสดุ</t>
        </is>
      </c>
      <c r="M18" s="20" t="inlineStr">
        <is>
          <t>ต่อโครงเหล็กเข้ากับขั้วกราวด์ ต้องขัดสีตรงจุดยึดออกให้ถึงเนื้อเหล็ก ไม่งั้นกราวด์ไม่ถึง</t>
        </is>
      </c>
    </row>
    <row r="19" ht="44" customHeight="1">
      <c r="A19" s="23" t="n">
        <v>16</v>
      </c>
      <c r="B19" s="24" t="inlineStr">
        <is>
          <t>ไฟฟ้า</t>
        </is>
      </c>
      <c r="C19" s="25" t="inlineStr">
        <is>
          <t>สาย USB / HDMI / รางเก็บสาย</t>
        </is>
      </c>
      <c r="D19" s="25" t="inlineStr">
        <is>
          <t>ชุดรวม</t>
        </is>
      </c>
      <c r="E19" s="23" t="n">
        <v>1</v>
      </c>
      <c r="F19" s="23" t="inlineStr">
        <is>
          <t>ชุด</t>
        </is>
      </c>
      <c r="G19" s="26" t="n">
        <v>650</v>
      </c>
      <c r="H19" s="26">
        <f>E19*G19</f>
        <v/>
      </c>
      <c r="I19" s="23" t="inlineStr">
        <is>
          <t>★★★★☆</t>
        </is>
      </c>
      <c r="J19" s="23" t="n">
        <v>4</v>
      </c>
      <c r="K19" s="22" t="inlineStr">
        <is>
          <t>ต้องมี</t>
        </is>
      </c>
      <c r="L19" s="25" t="inlineStr">
        <is>
          <t>บ้านหม้อ, Lazada</t>
        </is>
      </c>
      <c r="M19" s="25" t="inlineStr">
        <is>
          <t>เก็บสายให้เรียบร้อยคือส่วนที่ทำให้งานดูเป็นมืออาชีพตอนกรรมการเปิดฝาหลังดู</t>
        </is>
      </c>
    </row>
    <row r="20" ht="44" customHeight="1">
      <c r="A20" s="18" t="n">
        <v>17</v>
      </c>
      <c r="B20" s="19" t="inlineStr">
        <is>
          <t>โครงสร้าง</t>
        </is>
      </c>
      <c r="C20" s="20" t="inlineStr">
        <is>
          <t>เหล็กกล่อง 25x25x1.2mm</t>
        </is>
      </c>
      <c r="D20" s="20" t="inlineStr">
        <is>
          <t>ท่อนละ 6 เมตร</t>
        </is>
      </c>
      <c r="E20" s="18" t="n">
        <v>5</v>
      </c>
      <c r="F20" s="18" t="inlineStr">
        <is>
          <t>ท่อน</t>
        </is>
      </c>
      <c r="G20" s="21" t="n">
        <v>260</v>
      </c>
      <c r="H20" s="21">
        <f>E20*G20</f>
        <v/>
      </c>
      <c r="I20" s="18" t="inlineStr">
        <is>
          <t>★★★★★</t>
        </is>
      </c>
      <c r="J20" s="18" t="n">
        <v>5</v>
      </c>
      <c r="K20" s="22" t="inlineStr">
        <is>
          <t>ต้องมี</t>
        </is>
      </c>
      <c r="L20" s="20" t="inlineStr">
        <is>
          <t>ร้านเหล็กใกล้บ้าน</t>
        </is>
      </c>
      <c r="M20" s="20" t="inlineStr">
        <is>
          <t>ใช้จริง 19.6 เมตร (ตู้ขยายเป็น 450x450 เพื่อให้ระบบเงินสดลงได้) ซื้อ 30 เมตรเผื่อตัดพลาด ถ้าซื้อแค่ 4 ท่อนจะเหลือเผื่อแค่ 40 ซม. ตัดพลาดครั้งเดียวต้องวิ่งไปซื้อใหม่</t>
        </is>
      </c>
    </row>
    <row r="21" ht="44" customHeight="1">
      <c r="A21" s="23" t="n">
        <v>18</v>
      </c>
      <c r="B21" s="24" t="inlineStr">
        <is>
          <t>โครงสร้าง</t>
        </is>
      </c>
      <c r="C21" s="25" t="inlineStr">
        <is>
          <t>เหล็กกล่อง 38x38x1.5mm</t>
        </is>
      </c>
      <c r="D21" s="25" t="inlineStr">
        <is>
          <t>ท่อนละ 6 เมตร (ทำฐาน)</t>
        </is>
      </c>
      <c r="E21" s="23" t="n">
        <v>1</v>
      </c>
      <c r="F21" s="23" t="inlineStr">
        <is>
          <t>ท่อน</t>
        </is>
      </c>
      <c r="G21" s="26" t="n">
        <v>480</v>
      </c>
      <c r="H21" s="26">
        <f>E21*G21</f>
        <v/>
      </c>
      <c r="I21" s="23" t="inlineStr">
        <is>
          <t>★★★★★</t>
        </is>
      </c>
      <c r="J21" s="23" t="n">
        <v>5</v>
      </c>
      <c r="K21" s="22" t="inlineStr">
        <is>
          <t>ต้องมี</t>
        </is>
      </c>
      <c r="L21" s="25" t="inlineStr">
        <is>
          <t>ร้านเหล็ก</t>
        </is>
      </c>
      <c r="M21" s="25" t="inlineStr">
        <is>
          <t>ฐานต้องหนากว่าตัวตู้เพราะรับน้ำหนักทั้งใบและกันล้ม</t>
        </is>
      </c>
    </row>
    <row r="22" ht="44" customHeight="1">
      <c r="A22" s="18" t="n">
        <v>19</v>
      </c>
      <c r="B22" s="19" t="inlineStr">
        <is>
          <t>โครงสร้าง</t>
        </is>
      </c>
      <c r="C22" s="20" t="inlineStr">
        <is>
          <t>เหล็กแผ่น 1.2mm</t>
        </is>
      </c>
      <c r="D22" s="20" t="inlineStr">
        <is>
          <t>ขนาด 4x8 ฟุต</t>
        </is>
      </c>
      <c r="E22" s="18" t="n">
        <v>2</v>
      </c>
      <c r="F22" s="18" t="inlineStr">
        <is>
          <t>แผ่น</t>
        </is>
      </c>
      <c r="G22" s="21" t="n">
        <v>1250</v>
      </c>
      <c r="H22" s="21">
        <f>E22*G22</f>
        <v/>
      </c>
      <c r="I22" s="18" t="inlineStr">
        <is>
          <t>★★★★★</t>
        </is>
      </c>
      <c r="J22" s="18" t="n">
        <v>5</v>
      </c>
      <c r="K22" s="22" t="inlineStr">
        <is>
          <t>ต้องมี</t>
        </is>
      </c>
      <c r="L22" s="20" t="inlineStr">
        <is>
          <t>ร้านเหล็ก</t>
        </is>
      </c>
      <c r="M22" s="20" t="inlineStr">
        <is>
          <t>ทำแผ่นหน้า ข้าง 2 ฝั่ง ประตูหลัง และฝาบน 1.2mm บางพอที่จะพับได้แต่ไม่บุบง่าย</t>
        </is>
      </c>
    </row>
    <row r="23" ht="44" customHeight="1">
      <c r="A23" s="23" t="n">
        <v>20</v>
      </c>
      <c r="B23" s="24" t="inlineStr">
        <is>
          <t>โครงสร้าง</t>
        </is>
      </c>
      <c r="C23" s="25" t="inlineStr">
        <is>
          <t>เหล็กแผ่นฐาน 6mm</t>
        </is>
      </c>
      <c r="D23" s="25" t="inlineStr">
        <is>
          <t>ตัดสำเร็จ 420 x 400mm</t>
        </is>
      </c>
      <c r="E23" s="23" t="n">
        <v>1</v>
      </c>
      <c r="F23" s="23" t="inlineStr">
        <is>
          <t>แผ่น</t>
        </is>
      </c>
      <c r="G23" s="26" t="n">
        <v>620</v>
      </c>
      <c r="H23" s="26">
        <f>E23*G23</f>
        <v/>
      </c>
      <c r="I23" s="23" t="inlineStr">
        <is>
          <t>★★★★★</t>
        </is>
      </c>
      <c r="J23" s="23" t="n">
        <v>5</v>
      </c>
      <c r="K23" s="22" t="inlineStr">
        <is>
          <t>ต้องมี</t>
        </is>
      </c>
      <c r="L23" s="25" t="inlineStr">
        <is>
          <t>ร้านเหล็ก</t>
        </is>
      </c>
      <c r="M23" s="25" t="inlineStr">
        <is>
          <t>ถ่วงน้ำหนักไว้ที่ฐานเพื่อไม่ให้ตู้ล้มเวลาคนกดจอแรง ๆ</t>
        </is>
      </c>
    </row>
    <row r="24" ht="44" customHeight="1">
      <c r="A24" s="18" t="n">
        <v>21</v>
      </c>
      <c r="B24" s="19" t="inlineStr">
        <is>
          <t>โครงสร้าง</t>
        </is>
      </c>
      <c r="C24" s="20" t="inlineStr">
        <is>
          <t>ค่าตัดเลเซอร์แผ่นหน้า</t>
        </is>
      </c>
      <c r="D24" s="20" t="inlineStr">
        <is>
          <t>เจาะช่องจอ ช่องสแกน ช่องพิมพ์ ช่องลำโพง</t>
        </is>
      </c>
      <c r="E24" s="18" t="n">
        <v>1</v>
      </c>
      <c r="F24" s="18" t="inlineStr">
        <is>
          <t>งาน</t>
        </is>
      </c>
      <c r="G24" s="21" t="n">
        <v>1400</v>
      </c>
      <c r="H24" s="21">
        <f>E24*G24</f>
        <v/>
      </c>
      <c r="I24" s="18" t="inlineStr">
        <is>
          <t>★★★★★</t>
        </is>
      </c>
      <c r="J24" s="18" t="n">
        <v>5</v>
      </c>
      <c r="K24" s="22" t="inlineStr">
        <is>
          <t>ต้องมี</t>
        </is>
      </c>
      <c r="L24" s="20" t="inlineStr">
        <is>
          <t>ร้านตัดเลเซอร์/พับเหล็ก</t>
        </is>
      </c>
      <c r="M24" s="20" t="inlineStr">
        <is>
          <t>รายการที่เปลี่ยนงานจากดูเป็นงานนักศึกษาเป็นดูเหมือนของขาย มากที่สุดต่อเงิน 1 บาท อย่าเจียรมือเอาเอง ขอบจะไม่ตรงและเห็นชัดมาก</t>
        </is>
      </c>
    </row>
    <row r="25" ht="44" customHeight="1">
      <c r="A25" s="23" t="n">
        <v>22</v>
      </c>
      <c r="B25" s="24" t="inlineStr">
        <is>
          <t>โครงสร้าง</t>
        </is>
      </c>
      <c r="C25" s="25" t="inlineStr">
        <is>
          <t>บานพับ + กุญแจตู้ + ขาปรับระดับ</t>
        </is>
      </c>
      <c r="D25" s="25" t="inlineStr">
        <is>
          <t>ชุด</t>
        </is>
      </c>
      <c r="E25" s="23" t="n">
        <v>1</v>
      </c>
      <c r="F25" s="23" t="inlineStr">
        <is>
          <t>ชุด</t>
        </is>
      </c>
      <c r="G25" s="26" t="n">
        <v>620</v>
      </c>
      <c r="H25" s="26">
        <f>E25*G25</f>
        <v/>
      </c>
      <c r="I25" s="23" t="inlineStr">
        <is>
          <t>★★★★★</t>
        </is>
      </c>
      <c r="J25" s="23" t="n">
        <v>5</v>
      </c>
      <c r="K25" s="22" t="inlineStr">
        <is>
          <t>ต้องมี</t>
        </is>
      </c>
      <c r="L25" s="25" t="inlineStr">
        <is>
          <t>ไทวัสดุ</t>
        </is>
      </c>
      <c r="M25" s="25" t="inlineStr">
        <is>
          <t>ขาปรับระดับจำเป็นเพราะพื้นยิมไม่เรียบ ตู้โยกจะดูไม่ดีทันที กุญแจตู้กันคนแกะของข้างใน</t>
        </is>
      </c>
    </row>
    <row r="26" ht="44" customHeight="1">
      <c r="A26" s="18" t="n">
        <v>23</v>
      </c>
      <c r="B26" s="19" t="inlineStr">
        <is>
          <t>โครงสร้าง</t>
        </is>
      </c>
      <c r="C26" s="20" t="inlineStr">
        <is>
          <t>ลวดเชื่อม + ใบตัด + น็อต/สกรู</t>
        </is>
      </c>
      <c r="D26" s="20" t="inlineStr">
        <is>
          <t>ชุด</t>
        </is>
      </c>
      <c r="E26" s="18" t="n">
        <v>1</v>
      </c>
      <c r="F26" s="18" t="inlineStr">
        <is>
          <t>ชุด</t>
        </is>
      </c>
      <c r="G26" s="21" t="n">
        <v>700</v>
      </c>
      <c r="H26" s="21">
        <f>E26*G26</f>
        <v/>
      </c>
      <c r="I26" s="18" t="inlineStr">
        <is>
          <t>★★★★★</t>
        </is>
      </c>
      <c r="J26" s="18" t="n">
        <v>5</v>
      </c>
      <c r="K26" s="22" t="inlineStr">
        <is>
          <t>ต้องมี</t>
        </is>
      </c>
      <c r="L26" s="20" t="inlineStr">
        <is>
          <t>ไทวัสดุ</t>
        </is>
      </c>
      <c r="M26" s="20" t="inlineStr">
        <is>
          <t>ถ้าไม่มีตู้เชื่อม ยืมที่ฝึกงานหรือจ้างร้านเชื่อมประมาณ 1,500-2,500 บาท</t>
        </is>
      </c>
    </row>
    <row r="27" ht="44" customHeight="1">
      <c r="A27" s="23" t="n">
        <v>24</v>
      </c>
      <c r="B27" s="24" t="inlineStr">
        <is>
          <t>โครงสร้าง</t>
        </is>
      </c>
      <c r="C27" s="25" t="inlineStr">
        <is>
          <t>พ่นสีฝุ่น (Powder coating)</t>
        </is>
      </c>
      <c r="D27" s="25" t="inlineStr">
        <is>
          <t>ทั้งตู้ สีขาว/เทาเข้ม</t>
        </is>
      </c>
      <c r="E27" s="23" t="n">
        <v>1</v>
      </c>
      <c r="F27" s="23" t="inlineStr">
        <is>
          <t>งาน</t>
        </is>
      </c>
      <c r="G27" s="26" t="n">
        <v>2400</v>
      </c>
      <c r="H27" s="26">
        <f>E27*G27</f>
        <v/>
      </c>
      <c r="I27" s="23" t="inlineStr">
        <is>
          <t>★★★★★</t>
        </is>
      </c>
      <c r="J27" s="23" t="n">
        <v>5</v>
      </c>
      <c r="K27" s="22" t="inlineStr">
        <is>
          <t>ต้องมี</t>
        </is>
      </c>
      <c r="L27" s="25" t="inlineStr">
        <is>
          <t>ร้านพ่นสีฝุ่น</t>
        </is>
      </c>
      <c r="M27" s="25" t="inlineStr">
        <is>
          <t>ทนกว่าสีสเปรย์มาก ผิวเรียบเหมือนเครื่องใช้ไฟฟ้า ถ้าพ่นสเปรย์เองประหยัด 1,600 บาทแต่จะเห็นรอยแปรงและหลุดใน 1 ปี</t>
        </is>
      </c>
    </row>
    <row r="28" ht="44" customHeight="1">
      <c r="A28" s="18" t="n">
        <v>25</v>
      </c>
      <c r="B28" s="19" t="inlineStr">
        <is>
          <t>โครงสร้าง</t>
        </is>
      </c>
      <c r="C28" s="20" t="inlineStr">
        <is>
          <t>สติกเกอร์ + อะคริลิกโลโก้</t>
        </is>
      </c>
      <c r="D28" s="20" t="inlineStr">
        <is>
          <t>ตกแต่งหน้าตู้ + ป้ายชื่อ</t>
        </is>
      </c>
      <c r="E28" s="18" t="n">
        <v>1</v>
      </c>
      <c r="F28" s="18" t="inlineStr">
        <is>
          <t>งาน</t>
        </is>
      </c>
      <c r="G28" s="21" t="n">
        <v>1200</v>
      </c>
      <c r="H28" s="21">
        <f>E28*G28</f>
        <v/>
      </c>
      <c r="I28" s="18" t="inlineStr">
        <is>
          <t>★★★★☆</t>
        </is>
      </c>
      <c r="J28" s="18" t="n">
        <v>4</v>
      </c>
      <c r="K28" s="28" t="inlineStr">
        <is>
          <t>ควรมี</t>
        </is>
      </c>
      <c r="L28" s="20" t="inlineStr">
        <is>
          <t>ร้านทำป้าย</t>
        </is>
      </c>
      <c r="M28" s="20" t="inlineStr">
        <is>
          <t>โลโก้อะคริลิกนูนพร้อมไฟด้านหลังทำให้ตู้ดูแพงขึ้นมากในรูปถ่าย ใช้ตอนนำเสนอได้ดี</t>
        </is>
      </c>
    </row>
    <row r="29" ht="24" customHeight="1">
      <c r="A29" s="29" t="inlineStr">
        <is>
          <t>รวมทั้งหมด</t>
        </is>
      </c>
      <c r="H29" s="30">
        <f>SUM(H4:H28)</f>
        <v/>
      </c>
      <c r="I29" s="31" t="n"/>
      <c r="J29" s="31" t="n"/>
      <c r="K29" s="31" t="n"/>
      <c r="L29" s="31" t="n"/>
      <c r="M29" s="31" t="n"/>
    </row>
  </sheetData>
  <mergeCells count="3">
    <mergeCell ref="A2:M2"/>
    <mergeCell ref="A29:G29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24" customWidth="1" min="3" max="3"/>
    <col width="34" customWidth="1" min="4" max="4"/>
    <col width="7" customWidth="1" min="5" max="5"/>
    <col width="7" customWidth="1" min="6" max="6"/>
    <col width="14" customWidth="1" min="7" max="7"/>
    <col width="13" customWidth="1" min="8" max="8"/>
    <col width="12" customWidth="1" min="9" max="9"/>
    <col width="7" customWidth="1" min="10" max="10"/>
    <col width="12" customWidth="1" min="11" max="11"/>
    <col width="30" customWidth="1" min="12" max="12"/>
    <col width="62" customWidth="1" min="13" max="13"/>
  </cols>
  <sheetData>
    <row r="1" ht="26" customHeight="1">
      <c r="A1" s="17" t="inlineStr">
        <is>
          <t>เฟส 2  ของเสริมให้ตู้ดูเป็นมืออาชีพและใช้งานสะดวกขึ้น</t>
        </is>
      </c>
    </row>
    <row r="2" ht="30" customHeight="1">
      <c r="A2" s="2" t="inlineStr">
        <is>
          <t>ทำเฟส 1 ให้ใช้งานได้ก่อน แล้วค่อยเติมทีละอย่าง  ทุกรายการในหน้านี้ตัดออกได้โดยตู้ยังทำงานปกติ</t>
        </is>
      </c>
    </row>
    <row r="3" ht="34" customHeight="1">
      <c r="A3" s="3" t="inlineStr">
        <is>
          <t>ลำดับ</t>
        </is>
      </c>
      <c r="B3" s="3" t="inlineStr">
        <is>
          <t>หมวด</t>
        </is>
      </c>
      <c r="C3" s="3" t="inlineStr">
        <is>
          <t>รายการ</t>
        </is>
      </c>
      <c r="D3" s="3" t="inlineStr">
        <is>
          <t>สเปก / รุ่นแนะนำ</t>
        </is>
      </c>
      <c r="E3" s="3" t="inlineStr">
        <is>
          <t>จำนวน</t>
        </is>
      </c>
      <c r="F3" s="3" t="inlineStr">
        <is>
          <t>หน่วย</t>
        </is>
      </c>
      <c r="G3" s="3" t="inlineStr">
        <is>
          <t>ราคา/หน่วย (บาท)</t>
        </is>
      </c>
      <c r="H3" s="3" t="inlineStr">
        <is>
          <t>รวม (บาท)</t>
        </is>
      </c>
      <c r="I3" s="3" t="inlineStr">
        <is>
          <t>ความคุ้มค่า</t>
        </is>
      </c>
      <c r="J3" s="3" t="inlineStr">
        <is>
          <t>คะแนน</t>
        </is>
      </c>
      <c r="K3" s="3" t="inlineStr">
        <is>
          <t>ความสำคัญ</t>
        </is>
      </c>
      <c r="L3" s="3" t="inlineStr">
        <is>
          <t>ซื้อที่ไหน</t>
        </is>
      </c>
      <c r="M3" s="3" t="inlineStr">
        <is>
          <t>ทำไมเลือกตัวนี้ / ข้อควรระวัง</t>
        </is>
      </c>
    </row>
    <row r="4" ht="44" customHeight="1">
      <c r="A4" s="18" t="n">
        <v>1</v>
      </c>
      <c r="B4" s="19" t="inlineStr">
        <is>
          <t>หน้าตา</t>
        </is>
      </c>
      <c r="C4" s="20" t="inlineStr">
        <is>
          <t>จอแสดงหน้า AI 7 นิ้ว</t>
        </is>
      </c>
      <c r="D4" s="20" t="inlineStr">
        <is>
          <t>IPS HDMI 1024x600</t>
        </is>
      </c>
      <c r="E4" s="18" t="n">
        <v>1</v>
      </c>
      <c r="F4" s="18" t="inlineStr">
        <is>
          <t>จอ</t>
        </is>
      </c>
      <c r="G4" s="21" t="n">
        <v>1450</v>
      </c>
      <c r="H4" s="21">
        <f>E4*G4</f>
        <v/>
      </c>
      <c r="I4" s="18" t="inlineStr">
        <is>
          <t>★★★★☆</t>
        </is>
      </c>
      <c r="J4" s="18" t="n">
        <v>4</v>
      </c>
      <c r="K4" s="28" t="inlineStr">
        <is>
          <t>ควรมี</t>
        </is>
      </c>
      <c r="L4" s="20" t="inlineStr">
        <is>
          <t>Shopee, Lazada</t>
        </is>
      </c>
      <c r="M4" s="20" t="inlineStr">
        <is>
          <t>จอเล็กด้านบนแสดงหน้าการ์ตูนที่กะพริบตาและพูดได้ ต้นทุนต่ำแต่คนจำได้ทันที เป็นจุดขายตอนนำเสนอ</t>
        </is>
      </c>
    </row>
    <row r="5" ht="44" customHeight="1">
      <c r="A5" s="23" t="n">
        <v>2</v>
      </c>
      <c r="B5" s="24" t="inlineStr">
        <is>
          <t>หน้าตา</t>
        </is>
      </c>
      <c r="C5" s="25" t="inlineStr">
        <is>
          <t>ไฟ LED strip 12V + อะคริลิกฝ้า</t>
        </is>
      </c>
      <c r="D5" s="25" t="inlineStr">
        <is>
          <t>สีขาว/ฟ้า 1 เมตร</t>
        </is>
      </c>
      <c r="E5" s="23" t="n">
        <v>1</v>
      </c>
      <c r="F5" s="23" t="inlineStr">
        <is>
          <t>ชุด</t>
        </is>
      </c>
      <c r="G5" s="26" t="n">
        <v>480</v>
      </c>
      <c r="H5" s="26">
        <f>E5*G5</f>
        <v/>
      </c>
      <c r="I5" s="23" t="inlineStr">
        <is>
          <t>★★★★☆</t>
        </is>
      </c>
      <c r="J5" s="23" t="n">
        <v>4</v>
      </c>
      <c r="K5" s="28" t="inlineStr">
        <is>
          <t>ควรมี</t>
        </is>
      </c>
      <c r="L5" s="25" t="inlineStr">
        <is>
          <t>บ้านหม้อ, Lazada</t>
        </is>
      </c>
      <c r="M5" s="25" t="inlineStr">
        <is>
          <t>ไฟเรืองรอบช่องสแกนช่วยบอกลูกค้าว่าต้องเอา QR ไปจ่อตรงไหน แก้ปัญหาคนงงหน้าตู้ได้จริง</t>
        </is>
      </c>
    </row>
    <row r="6" ht="44" customHeight="1">
      <c r="A6" s="18" t="n">
        <v>3</v>
      </c>
      <c r="B6" s="19" t="inlineStr">
        <is>
          <t>หน้าตา</t>
        </is>
      </c>
      <c r="C6" s="20" t="inlineStr">
        <is>
          <t>เซนเซอร์ตรวจคน PIR</t>
        </is>
      </c>
      <c r="D6" s="20" t="inlineStr">
        <is>
          <t>HC-SR501 ปลุกจอเมื่อมีคนเข้าใกล้</t>
        </is>
      </c>
      <c r="E6" s="18" t="n">
        <v>1</v>
      </c>
      <c r="F6" s="18" t="inlineStr">
        <is>
          <t>ตัว</t>
        </is>
      </c>
      <c r="G6" s="21" t="n">
        <v>180</v>
      </c>
      <c r="H6" s="21">
        <f>E6*G6</f>
        <v/>
      </c>
      <c r="I6" s="18" t="inlineStr">
        <is>
          <t>★★★★☆</t>
        </is>
      </c>
      <c r="J6" s="18" t="n">
        <v>4</v>
      </c>
      <c r="K6" s="28" t="inlineStr">
        <is>
          <t>ควรมี</t>
        </is>
      </c>
      <c r="L6" s="20" t="inlineStr">
        <is>
          <t>Shopee, Arduitronics</t>
        </is>
      </c>
      <c r="M6" s="20" t="inlineStr">
        <is>
          <t>จอดับเองตอนไม่มีคน ยืดอายุจอและประหยัดไฟ พอมีคนเดินมาจอติดขึ้นเองดูฉลาดดี</t>
        </is>
      </c>
    </row>
    <row r="7" ht="44" customHeight="1">
      <c r="A7" s="23" t="n">
        <v>4</v>
      </c>
      <c r="B7" s="24" t="inlineStr">
        <is>
          <t>รับข้อมูล</t>
        </is>
      </c>
      <c r="C7" s="25" t="inlineStr">
        <is>
          <t>เครื่องอ่านบัตร NFC</t>
        </is>
      </c>
      <c r="D7" s="25" t="inlineStr">
        <is>
          <t>ACR122U USB</t>
        </is>
      </c>
      <c r="E7" s="23" t="n">
        <v>1</v>
      </c>
      <c r="F7" s="23" t="inlineStr">
        <is>
          <t>ตัว</t>
        </is>
      </c>
      <c r="G7" s="26" t="n">
        <v>1290</v>
      </c>
      <c r="H7" s="26">
        <f>E7*G7</f>
        <v/>
      </c>
      <c r="I7" s="23" t="inlineStr">
        <is>
          <t>★★★☆☆</t>
        </is>
      </c>
      <c r="J7" s="23" t="n">
        <v>3</v>
      </c>
      <c r="K7" s="28" t="inlineStr">
        <is>
          <t>ควรมี</t>
        </is>
      </c>
      <c r="L7" s="25" t="inlineStr">
        <is>
          <t>Shopee, Lazada</t>
        </is>
      </c>
      <c r="M7" s="25" t="inlineStr">
        <is>
          <t>ทำบัตรสมาชิกแตะได้ แต่ถ้ามีสแกนลายนิ้วมือแล้วอาจซ้ำซ้อน เก็บไว้ทีหลังได้</t>
        </is>
      </c>
    </row>
    <row r="8" ht="44" customHeight="1">
      <c r="A8" s="18" t="n">
        <v>5</v>
      </c>
      <c r="B8" s="19" t="inlineStr">
        <is>
          <t>เสถียรภาพ</t>
        </is>
      </c>
      <c r="C8" s="20" t="inlineStr">
        <is>
          <t>UPS 650VA</t>
        </is>
      </c>
      <c r="D8" s="20" t="inlineStr">
        <is>
          <t>APC หรือ Syndome</t>
        </is>
      </c>
      <c r="E8" s="18" t="n">
        <v>1</v>
      </c>
      <c r="F8" s="18" t="inlineStr">
        <is>
          <t>เครื่อง</t>
        </is>
      </c>
      <c r="G8" s="21" t="n">
        <v>1990</v>
      </c>
      <c r="H8" s="21">
        <f>E8*G8</f>
        <v/>
      </c>
      <c r="I8" s="18" t="inlineStr">
        <is>
          <t>★★★★☆</t>
        </is>
      </c>
      <c r="J8" s="18" t="n">
        <v>4</v>
      </c>
      <c r="K8" s="28" t="inlineStr">
        <is>
          <t>ควรมี</t>
        </is>
      </c>
      <c r="L8" s="20" t="inlineStr">
        <is>
          <t>JIB, Advice, Lazada</t>
        </is>
      </c>
      <c r="M8" s="20" t="inlineStr">
        <is>
          <t>ไฟกระพริบแล้ว Mini PC ดับกลางคันเสี่ยง Windows พัง UPS ให้เวลาปิดเครื่องอย่างถูกต้อง</t>
        </is>
      </c>
    </row>
    <row r="9" ht="44" customHeight="1">
      <c r="A9" s="23" t="n">
        <v>6</v>
      </c>
      <c r="B9" s="24" t="inlineStr">
        <is>
          <t>เสถียรภาพ</t>
        </is>
      </c>
      <c r="C9" s="25" t="inlineStr">
        <is>
          <t>Router 4G สำรองเน็ต + ซิม</t>
        </is>
      </c>
      <c r="D9" s="25" t="inlineStr">
        <is>
          <t>ใส่ซิมรายเดือน</t>
        </is>
      </c>
      <c r="E9" s="23" t="n">
        <v>1</v>
      </c>
      <c r="F9" s="23" t="inlineStr">
        <is>
          <t>ชุด</t>
        </is>
      </c>
      <c r="G9" s="26" t="n">
        <v>1590</v>
      </c>
      <c r="H9" s="26">
        <f>E9*G9</f>
        <v/>
      </c>
      <c r="I9" s="23" t="inlineStr">
        <is>
          <t>★★★☆☆</t>
        </is>
      </c>
      <c r="J9" s="23" t="n">
        <v>3</v>
      </c>
      <c r="K9" s="28" t="inlineStr">
        <is>
          <t>ควรมี</t>
        </is>
      </c>
      <c r="L9" s="25" t="inlineStr">
        <is>
          <t>Lazada, ร้านมือถือ</t>
        </is>
      </c>
      <c r="M9" s="25" t="inlineStr">
        <is>
          <t>เน็ตยิมล่มแล้วตู้ใช้ไม่ได้เลยเพราะทุกอย่างวิ่งผ่าน Firebase ตัวนี้เป็นแผนสำรอง ค่าซิมประมาณ 200 บาทต่อเดือน</t>
        </is>
      </c>
    </row>
    <row r="10" ht="44" customHeight="1">
      <c r="A10" s="18" t="n">
        <v>7</v>
      </c>
      <c r="B10" s="19" t="inlineStr">
        <is>
          <t>รับข้อมูล</t>
        </is>
      </c>
      <c r="C10" s="20" t="inlineStr">
        <is>
          <t>เว็บแคม 1080p</t>
        </is>
      </c>
      <c r="D10" s="20" t="inlineStr">
        <is>
          <t>USB มีไมค์ในตัว</t>
        </is>
      </c>
      <c r="E10" s="18" t="n">
        <v>1</v>
      </c>
      <c r="F10" s="18" t="inlineStr">
        <is>
          <t>ตัว</t>
        </is>
      </c>
      <c r="G10" s="21" t="n">
        <v>690</v>
      </c>
      <c r="H10" s="21">
        <f>E10*G10</f>
        <v/>
      </c>
      <c r="I10" s="18" t="inlineStr">
        <is>
          <t>★★☆☆☆</t>
        </is>
      </c>
      <c r="J10" s="18" t="n">
        <v>2</v>
      </c>
      <c r="K10" s="18" t="inlineStr">
        <is>
          <t>ไว้ทีหลัง</t>
        </is>
      </c>
      <c r="L10" s="20" t="inlineStr">
        <is>
          <t>JIB, Lazada</t>
        </is>
      </c>
      <c r="M10" s="20" t="inlineStr">
        <is>
          <t>ไว้ต่อยอดทำระบบจำหน้า แต่การจำหน้าในยิมทำยากเพราะแสงและเหงื่อ อย่าเพิ่งใส่ใน v1</t>
        </is>
      </c>
    </row>
    <row r="11" ht="44" customHeight="1">
      <c r="A11" s="23" t="n">
        <v>8</v>
      </c>
      <c r="B11" s="24" t="inlineStr">
        <is>
          <t>ความปลอดภัย</t>
        </is>
      </c>
      <c r="C11" s="25" t="inlineStr">
        <is>
          <t>เซนเซอร์เปิดฝา + ออด</t>
        </is>
      </c>
      <c r="D11" s="25" t="inlineStr">
        <is>
          <t>Reed switch + buzzer</t>
        </is>
      </c>
      <c r="E11" s="23" t="n">
        <v>1</v>
      </c>
      <c r="F11" s="23" t="inlineStr">
        <is>
          <t>ชุด</t>
        </is>
      </c>
      <c r="G11" s="26" t="n">
        <v>450</v>
      </c>
      <c r="H11" s="26">
        <f>E11*G11</f>
        <v/>
      </c>
      <c r="I11" s="23" t="inlineStr">
        <is>
          <t>★★★☆☆</t>
        </is>
      </c>
      <c r="J11" s="23" t="n">
        <v>3</v>
      </c>
      <c r="K11" s="28" t="inlineStr">
        <is>
          <t>ควรมี</t>
        </is>
      </c>
      <c r="L11" s="25" t="inlineStr">
        <is>
          <t>บ้านหม้อ</t>
        </is>
      </c>
      <c r="M11" s="25" t="inlineStr">
        <is>
          <t>แจ้งเตือนเข้าระบบเมื่อมีคนเปิดฝาหลังตู้นอกเวลา ระบบมี auditLog รองรับอยู่แล้ว</t>
        </is>
      </c>
    </row>
    <row r="12" ht="44" customHeight="1">
      <c r="A12" s="18" t="n">
        <v>9</v>
      </c>
      <c r="B12" s="19" t="inlineStr">
        <is>
          <t>หน้าตา</t>
        </is>
      </c>
      <c r="C12" s="20" t="inlineStr">
        <is>
          <t>สแตนเลส 304 hairline หุ้มขอบ</t>
        </is>
      </c>
      <c r="D12" s="20" t="inlineStr">
        <is>
          <t>แผ่นบางหุ้มขอบด้านหน้า</t>
        </is>
      </c>
      <c r="E12" s="18" t="n">
        <v>1</v>
      </c>
      <c r="F12" s="18" t="inlineStr">
        <is>
          <t>งาน</t>
        </is>
      </c>
      <c r="G12" s="21" t="n">
        <v>2800</v>
      </c>
      <c r="H12" s="21">
        <f>E12*G12</f>
        <v/>
      </c>
      <c r="I12" s="18" t="inlineStr">
        <is>
          <t>★★★☆☆</t>
        </is>
      </c>
      <c r="J12" s="18" t="n">
        <v>3</v>
      </c>
      <c r="K12" s="18" t="inlineStr">
        <is>
          <t>ไว้ทีหลัง</t>
        </is>
      </c>
      <c r="L12" s="20" t="inlineStr">
        <is>
          <t>ร้านสแตนเลส</t>
        </is>
      </c>
      <c r="M12" s="20" t="inlineStr">
        <is>
          <t>สวยขึ้นชัดเจนเหมือนตู้ ATM แต่แพงและเพิ่มงานพับ ทำเฉพาะถ้ามีงบเหลือหลังตู้ใช้งานได้แล้ว</t>
        </is>
      </c>
    </row>
    <row r="13" ht="24" customHeight="1">
      <c r="A13" s="29" t="inlineStr">
        <is>
          <t>รวมทั้งหมด</t>
        </is>
      </c>
      <c r="H13" s="30">
        <f>SUM(H4:H12)</f>
        <v/>
      </c>
      <c r="I13" s="31" t="n"/>
      <c r="J13" s="31" t="n"/>
      <c r="K13" s="31" t="n"/>
      <c r="L13" s="31" t="n"/>
      <c r="M13" s="31" t="n"/>
    </row>
  </sheetData>
  <mergeCells count="3">
    <mergeCell ref="A13:G13"/>
    <mergeCell ref="A2:M2"/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24" customWidth="1" min="3" max="3"/>
    <col width="34" customWidth="1" min="4" max="4"/>
    <col width="7" customWidth="1" min="5" max="5"/>
    <col width="7" customWidth="1" min="6" max="6"/>
    <col width="14" customWidth="1" min="7" max="7"/>
    <col width="13" customWidth="1" min="8" max="8"/>
    <col width="12" customWidth="1" min="9" max="9"/>
    <col width="7" customWidth="1" min="10" max="10"/>
    <col width="12" customWidth="1" min="11" max="11"/>
    <col width="30" customWidth="1" min="12" max="12"/>
    <col width="62" customWidth="1" min="13" max="13"/>
  </cols>
  <sheetData>
    <row r="1" ht="26" customHeight="1">
      <c r="A1" s="17" t="inlineStr">
        <is>
          <t>เฟส 3  ระบบรับเงินสดและทอนเงิน</t>
        </is>
      </c>
    </row>
    <row r="2" ht="30" customHeight="1">
      <c r="A2" s="2" t="inlineStr">
        <is>
          <t>จากข้อมูลจริง 870 บิล ลูกค้าจ่ายเงินสด 52.5%  ถ้าตู้ไม่รับเงินสดจะใช้ได้กับลูกค้าแค่ครึ่งเดียว  ดูตัวเลขที่ใช้คำนวณได้ในแท็บ ข้อมูลจริง-เงินสด</t>
        </is>
      </c>
    </row>
    <row r="3" ht="34" customHeight="1">
      <c r="A3" s="3" t="inlineStr">
        <is>
          <t>ลำดับ</t>
        </is>
      </c>
      <c r="B3" s="3" t="inlineStr">
        <is>
          <t>หมวด</t>
        </is>
      </c>
      <c r="C3" s="3" t="inlineStr">
        <is>
          <t>รายการ</t>
        </is>
      </c>
      <c r="D3" s="3" t="inlineStr">
        <is>
          <t>สเปก / รุ่นแนะนำ</t>
        </is>
      </c>
      <c r="E3" s="3" t="inlineStr">
        <is>
          <t>จำนวน</t>
        </is>
      </c>
      <c r="F3" s="3" t="inlineStr">
        <is>
          <t>หน่วย</t>
        </is>
      </c>
      <c r="G3" s="3" t="inlineStr">
        <is>
          <t>ราคา/หน่วย (บาท)</t>
        </is>
      </c>
      <c r="H3" s="3" t="inlineStr">
        <is>
          <t>รวม (บาท)</t>
        </is>
      </c>
      <c r="I3" s="3" t="inlineStr">
        <is>
          <t>ความคุ้มค่า</t>
        </is>
      </c>
      <c r="J3" s="3" t="inlineStr">
        <is>
          <t>คะแนน</t>
        </is>
      </c>
      <c r="K3" s="3" t="inlineStr">
        <is>
          <t>ความสำคัญ</t>
        </is>
      </c>
      <c r="L3" s="3" t="inlineStr">
        <is>
          <t>ซื้อที่ไหน</t>
        </is>
      </c>
      <c r="M3" s="3" t="inlineStr">
        <is>
          <t>ทำไมเลือกตัวนี้ / ข้อควรระวัง</t>
        </is>
      </c>
    </row>
    <row r="4" ht="44" customHeight="1">
      <c r="A4" s="18" t="n">
        <v>1</v>
      </c>
      <c r="B4" s="19" t="inlineStr">
        <is>
          <t>เงินเข้า</t>
        </is>
      </c>
      <c r="C4" s="20" t="inlineStr">
        <is>
          <t>เครื่องรับธนบัตร</t>
        </is>
      </c>
      <c r="D4" s="20" t="inlineStr">
        <is>
          <t>รองรับเงินบาท พร้อมกล่องเก็บแบงก์ (stacker) ปิดรับแบงก์ 500/1000</t>
        </is>
      </c>
      <c r="E4" s="18" t="n">
        <v>1</v>
      </c>
      <c r="F4" s="18" t="inlineStr">
        <is>
          <t>เครื่อง</t>
        </is>
      </c>
      <c r="G4" s="21" t="n">
        <v>7500</v>
      </c>
      <c r="H4" s="21">
        <f>E4*G4</f>
        <v/>
      </c>
      <c r="I4" s="18" t="inlineStr">
        <is>
          <t>★★★★☆</t>
        </is>
      </c>
      <c r="J4" s="18" t="n">
        <v>4</v>
      </c>
      <c r="K4" s="22" t="inlineStr">
        <is>
          <t>ต้องมี</t>
        </is>
      </c>
      <c r="L4" s="20" t="inlineStr">
        <is>
          <t>Shopee/Lazada ร้านอุปกรณ์ตู้หยอดเหรียญ</t>
        </is>
      </c>
      <c r="M4" s="20" t="inlineStr">
        <is>
          <t>ต้องเลือกรุ่นที่ตั้งปิดแบงก์ 500 กับ 1000 ได้ ถ้ารับแบงก์ 500 มาจ่ายค่าเข้า 75 บาท ต้องทอน 425 บาท = เหรียญ 43 เหรียญ ซึ่งเป็นไปไม่ได้</t>
        </is>
      </c>
    </row>
    <row r="5" ht="44" customHeight="1">
      <c r="A5" s="23" t="n">
        <v>2</v>
      </c>
      <c r="B5" s="24" t="inlineStr">
        <is>
          <t>เงินเข้า</t>
        </is>
      </c>
      <c r="C5" s="25" t="inlineStr">
        <is>
          <t>เครื่องรับเหรียญ</t>
        </is>
      </c>
      <c r="D5" s="25" t="inlineStr">
        <is>
          <t>CH-926 หรือเทียบเท่า ตั้งค่ารับเหรียญ 1/2/5/10 บาท</t>
        </is>
      </c>
      <c r="E5" s="23" t="n">
        <v>1</v>
      </c>
      <c r="F5" s="23" t="inlineStr">
        <is>
          <t>ตัว</t>
        </is>
      </c>
      <c r="G5" s="26" t="n">
        <v>1190</v>
      </c>
      <c r="H5" s="26">
        <f>E5*G5</f>
        <v/>
      </c>
      <c r="I5" s="23" t="inlineStr">
        <is>
          <t>★★★★☆</t>
        </is>
      </c>
      <c r="J5" s="23" t="n">
        <v>4</v>
      </c>
      <c r="K5" s="22" t="inlineStr">
        <is>
          <t>ต้องมี</t>
        </is>
      </c>
      <c r="L5" s="25" t="inlineStr">
        <is>
          <t>Shopee, Cybertronix</t>
        </is>
      </c>
      <c r="M5" s="25" t="inlineStr">
        <is>
          <t>ลูกค้าที่มีเศษเหรียญจะจ่ายพอดีได้ ช่วยลดการใช้เหรียญทอนไปในตัว</t>
        </is>
      </c>
    </row>
    <row r="6" ht="44" customHeight="1">
      <c r="A6" s="18" t="n">
        <v>3</v>
      </c>
      <c r="B6" s="19" t="inlineStr">
        <is>
          <t>เงินออก</t>
        </is>
      </c>
      <c r="C6" s="20" t="inlineStr">
        <is>
          <t>เครื่องทอนเหรียญ 10 บาท</t>
        </is>
      </c>
      <c r="D6" s="20" t="inlineStr">
        <is>
          <t>Universal coin hopper + เซนเซอร์นับเหรียญออก</t>
        </is>
      </c>
      <c r="E6" s="18" t="n">
        <v>1</v>
      </c>
      <c r="F6" s="18" t="inlineStr">
        <is>
          <t>ตัว</t>
        </is>
      </c>
      <c r="G6" s="21" t="n">
        <v>4200</v>
      </c>
      <c r="H6" s="21">
        <f>E6*G6</f>
        <v/>
      </c>
      <c r="I6" s="18" t="inlineStr">
        <is>
          <t>★★★★★</t>
        </is>
      </c>
      <c r="J6" s="18" t="n">
        <v>5</v>
      </c>
      <c r="K6" s="22" t="inlineStr">
        <is>
          <t>ต้องมี</t>
        </is>
      </c>
      <c r="L6" s="20" t="inlineStr">
        <is>
          <t>Shopee, Lazada, AliExpress</t>
        </is>
      </c>
      <c r="M6" s="20" t="inlineStr">
        <is>
          <t>หัวใจของการทอนเงิน จากข้อมูลจริงใช้เหรียญ 10 ประมาณ 7.5 เหรียญต่อวัน ใส่ไว้ 300 เหรียญอยู่ได้ประมาณ 40 วัน</t>
        </is>
      </c>
    </row>
    <row r="7" ht="44" customHeight="1">
      <c r="A7" s="23" t="n">
        <v>4</v>
      </c>
      <c r="B7" s="24" t="inlineStr">
        <is>
          <t>เงินออก</t>
        </is>
      </c>
      <c r="C7" s="25" t="inlineStr">
        <is>
          <t>เครื่องทอนเหรียญ 5 บาท</t>
        </is>
      </c>
      <c r="D7" s="25" t="inlineStr">
        <is>
          <t>Universal coin hopper + เซนเซอร์นับเหรียญออก</t>
        </is>
      </c>
      <c r="E7" s="23" t="n">
        <v>1</v>
      </c>
      <c r="F7" s="23" t="inlineStr">
        <is>
          <t>ตัว</t>
        </is>
      </c>
      <c r="G7" s="26" t="n">
        <v>4200</v>
      </c>
      <c r="H7" s="26">
        <f>E7*G7</f>
        <v/>
      </c>
      <c r="I7" s="23" t="inlineStr">
        <is>
          <t>★★★★☆</t>
        </is>
      </c>
      <c r="J7" s="23" t="n">
        <v>4</v>
      </c>
      <c r="K7" s="22" t="inlineStr">
        <is>
          <t>ต้องมี</t>
        </is>
      </c>
      <c r="L7" s="25" t="inlineStr">
        <is>
          <t>Shopee, Lazada, AliExpress</t>
        </is>
      </c>
      <c r="M7" s="25" t="inlineStr">
        <is>
          <t>1 เครื่องทอนได้เหรียญชนิดเดียว จึงต้องมี 2 เครื่อง ถ้ามีแค่เหรียญ 10 จะทอนยอดที่ลงท้ายด้วย 5 ไม่ได้ เช่น ทอน 25 บาท</t>
        </is>
      </c>
    </row>
    <row r="8" ht="44" customHeight="1">
      <c r="A8" s="18" t="n">
        <v>5</v>
      </c>
      <c r="B8" s="19" t="inlineStr">
        <is>
          <t>ควบคุม</t>
        </is>
      </c>
      <c r="C8" s="20" t="inlineStr">
        <is>
          <t>บอร์ดควบคุมเงินสด</t>
        </is>
      </c>
      <c r="D8" s="20" t="inlineStr">
        <is>
          <t>Arduino/ESP32 + ออปโตคัปเปลอร์ + ไดรฟ์มอเตอร์ ต่อ USB เข้า Mini PC</t>
        </is>
      </c>
      <c r="E8" s="18" t="n">
        <v>1</v>
      </c>
      <c r="F8" s="18" t="inlineStr">
        <is>
          <t>ชุด</t>
        </is>
      </c>
      <c r="G8" s="21" t="n">
        <v>850</v>
      </c>
      <c r="H8" s="21">
        <f>E8*G8</f>
        <v/>
      </c>
      <c r="I8" s="18" t="inlineStr">
        <is>
          <t>★★★★★</t>
        </is>
      </c>
      <c r="J8" s="18" t="n">
        <v>5</v>
      </c>
      <c r="K8" s="22" t="inlineStr">
        <is>
          <t>ต้องมี</t>
        </is>
      </c>
      <c r="L8" s="20" t="inlineStr">
        <is>
          <t>Arduitronics, ThaiEasyElec, Shopee</t>
        </is>
      </c>
      <c r="M8" s="20" t="inlineStr">
        <is>
          <t>เครื่องรับเงินกับเครื่องทอนคุยกันเป็นสัญญาณพัลส์ ไม่ใช่ USB ต้องมีบอร์ดนี้แปลงให้คอมอ่านได้ และเป็นตัวนับเหรียญที่ทอนออกจริง</t>
        </is>
      </c>
    </row>
    <row r="9" ht="44" customHeight="1">
      <c r="A9" s="23" t="n">
        <v>6</v>
      </c>
      <c r="B9" s="24" t="inlineStr">
        <is>
          <t>ไฟฟ้า</t>
        </is>
      </c>
      <c r="C9" s="25" t="inlineStr">
        <is>
          <t>อัปเกรด Power Supply เป็น 12V 15A</t>
        </is>
      </c>
      <c r="D9" s="25" t="inlineStr">
        <is>
          <t>ส่วนต่างจากตัว 10A ในเฟส 1 -&gt; Meanwell LRS-150-12</t>
        </is>
      </c>
      <c r="E9" s="23" t="n">
        <v>1</v>
      </c>
      <c r="F9" s="23" t="inlineStr">
        <is>
          <t>ส่วนต่าง</t>
        </is>
      </c>
      <c r="G9" s="26" t="n">
        <v>200</v>
      </c>
      <c r="H9" s="26">
        <f>E9*G9</f>
        <v/>
      </c>
      <c r="I9" s="23" t="inlineStr">
        <is>
          <t>★★★★★</t>
        </is>
      </c>
      <c r="J9" s="23" t="n">
        <v>5</v>
      </c>
      <c r="K9" s="22" t="inlineStr">
        <is>
          <t>ต้องมี</t>
        </is>
      </c>
      <c r="L9" s="25" t="inlineStr">
        <is>
          <t>Lazada, บ้านหม้อ</t>
        </is>
      </c>
      <c r="M9" s="25" t="inlineStr">
        <is>
          <t>มอเตอร์เครื่องทอนกินกระแสสูงตอนเริ่มหมุน ตัว 10A เดิมพอแต่ไม่มีเผื่อ  คิดเฉพาะส่วนต่างเพราะซื้อตัวเดียว ไม่ได้ซื้อทั้งสองตัว</t>
        </is>
      </c>
    </row>
    <row r="10" ht="44" customHeight="1">
      <c r="A10" s="18" t="n">
        <v>7</v>
      </c>
      <c r="B10" s="19" t="inlineStr">
        <is>
          <t>ความปลอดภัย</t>
        </is>
      </c>
      <c r="C10" s="20" t="inlineStr">
        <is>
          <t>กล่องเก็บเงินมีกุญแจแยก</t>
        </is>
      </c>
      <c r="D10" s="20" t="inlineStr">
        <is>
          <t>กล่องเหล็กหนา ล็อกแยกจากประตูตู้</t>
        </is>
      </c>
      <c r="E10" s="18" t="n">
        <v>1</v>
      </c>
      <c r="F10" s="18" t="inlineStr">
        <is>
          <t>กล่อง</t>
        </is>
      </c>
      <c r="G10" s="21" t="n">
        <v>1800</v>
      </c>
      <c r="H10" s="21">
        <f>E10*G10</f>
        <v/>
      </c>
      <c r="I10" s="18" t="inlineStr">
        <is>
          <t>★★★★★</t>
        </is>
      </c>
      <c r="J10" s="18" t="n">
        <v>5</v>
      </c>
      <c r="K10" s="22" t="inlineStr">
        <is>
          <t>ต้องมี</t>
        </is>
      </c>
      <c r="L10" s="20" t="inlineStr">
        <is>
          <t>ร้านเหล็ก / ร้านทำตู้เซฟ</t>
        </is>
      </c>
      <c r="M10" s="20" t="inlineStr">
        <is>
          <t>ล็อก 2 ชั้น คนเปิดตู้ไปเปลี่ยนกระดาษไม่จำเป็นต้องเข้าถึงเงินได้ แยกคนดูแลเครื่องกับคนเก็บเงินออกจากกัน</t>
        </is>
      </c>
    </row>
    <row r="11" ht="44" customHeight="1">
      <c r="A11" s="23" t="n">
        <v>8</v>
      </c>
      <c r="B11" s="24" t="inlineStr">
        <is>
          <t>ความปลอดภัย</t>
        </is>
      </c>
      <c r="C11" s="25" t="inlineStr">
        <is>
          <t>พุกยึดพื้น M12</t>
        </is>
      </c>
      <c r="D11" s="25" t="inlineStr">
        <is>
          <t>ยึดฐานตู้ติดพื้น 4 จุด</t>
        </is>
      </c>
      <c r="E11" s="23" t="n">
        <v>1</v>
      </c>
      <c r="F11" s="23" t="inlineStr">
        <is>
          <t>ชุด</t>
        </is>
      </c>
      <c r="G11" s="26" t="n">
        <v>350</v>
      </c>
      <c r="H11" s="26">
        <f>E11*G11</f>
        <v/>
      </c>
      <c r="I11" s="23" t="inlineStr">
        <is>
          <t>★★★★★</t>
        </is>
      </c>
      <c r="J11" s="23" t="n">
        <v>5</v>
      </c>
      <c r="K11" s="22" t="inlineStr">
        <is>
          <t>ต้องมี</t>
        </is>
      </c>
      <c r="L11" s="25" t="inlineStr">
        <is>
          <t>ไทวัสดุ, HomePro</t>
        </is>
      </c>
      <c r="M11" s="25" t="inlineStr">
        <is>
          <t>พอมีเงินอยู่ในตู้ ตู้ที่ยกไปได้ทั้งใบคือความเสี่ยง ต้องยึดติดพื้น ไม่ใช่แค่วางไว้</t>
        </is>
      </c>
    </row>
    <row r="12" ht="44" customHeight="1">
      <c r="A12" s="18" t="n">
        <v>9</v>
      </c>
      <c r="B12" s="19" t="inlineStr">
        <is>
          <t>ความปลอดภัย</t>
        </is>
      </c>
      <c r="C12" s="20" t="inlineStr">
        <is>
          <t>กุญแจตู้เกรดสูง + เซนเซอร์เปิดฝา</t>
        </is>
      </c>
      <c r="D12" s="20" t="inlineStr">
        <is>
          <t>Cam lock + reed switch แจ้งเตือนเข้าระบบ</t>
        </is>
      </c>
      <c r="E12" s="18" t="n">
        <v>1</v>
      </c>
      <c r="F12" s="18" t="inlineStr">
        <is>
          <t>ชุด</t>
        </is>
      </c>
      <c r="G12" s="21" t="n">
        <v>650</v>
      </c>
      <c r="H12" s="21">
        <f>E12*G12</f>
        <v/>
      </c>
      <c r="I12" s="18" t="inlineStr">
        <is>
          <t>★★★★★</t>
        </is>
      </c>
      <c r="J12" s="18" t="n">
        <v>5</v>
      </c>
      <c r="K12" s="22" t="inlineStr">
        <is>
          <t>ต้องมี</t>
        </is>
      </c>
      <c r="L12" s="20" t="inlineStr">
        <is>
          <t>บ้านหม้อ, ไทวัสดุ</t>
        </is>
      </c>
      <c r="M12" s="20" t="inlineStr">
        <is>
          <t>ระบบมี auditLog อยู่แล้ว บันทึกได้เลยว่าใครเปิดตู้ตอนกี่โมง</t>
        </is>
      </c>
    </row>
    <row r="13" ht="44" customHeight="1">
      <c r="A13" s="23" t="n">
        <v>10</v>
      </c>
      <c r="B13" s="24" t="inlineStr">
        <is>
          <t>โครงสร้าง</t>
        </is>
      </c>
      <c r="C13" s="25" t="inlineStr">
        <is>
          <t>เหล็กแผ่น 1.2mm เพิ่ม</t>
        </is>
      </c>
      <c r="D13" s="25" t="inlineStr">
        <is>
          <t>ขนาด 4x8 ฟุต (ตู้ต้องใหญ่ขึ้นและมีผนังกั้นห้องเงิน)</t>
        </is>
      </c>
      <c r="E13" s="23" t="n">
        <v>1</v>
      </c>
      <c r="F13" s="23" t="inlineStr">
        <is>
          <t>แผ่น</t>
        </is>
      </c>
      <c r="G13" s="26" t="n">
        <v>1250</v>
      </c>
      <c r="H13" s="26">
        <f>E13*G13</f>
        <v/>
      </c>
      <c r="I13" s="23" t="inlineStr">
        <is>
          <t>★★★★★</t>
        </is>
      </c>
      <c r="J13" s="23" t="n">
        <v>5</v>
      </c>
      <c r="K13" s="22" t="inlineStr">
        <is>
          <t>ต้องมี</t>
        </is>
      </c>
      <c r="L13" s="25" t="inlineStr">
        <is>
          <t>ร้านเหล็ก</t>
        </is>
      </c>
      <c r="M13" s="25" t="inlineStr">
        <is>
          <t>ตัวตู้ต้องขยายจาก 400x350 เป็น 450x450 มม. เพื่อให้เครื่องทอน 2 ตัวและกล่องแบงก์ลงได้</t>
        </is>
      </c>
    </row>
    <row r="14" ht="44" customHeight="1">
      <c r="A14" s="18" t="n">
        <v>11</v>
      </c>
      <c r="B14" s="19" t="inlineStr">
        <is>
          <t>โครงสร้าง</t>
        </is>
      </c>
      <c r="C14" s="20" t="inlineStr">
        <is>
          <t>ค่าตัดเลเซอร์ช่องเงิน</t>
        </is>
      </c>
      <c r="D14" s="20" t="inlineStr">
        <is>
          <t>ช่องสอดแบงก์ ช่องหยอดเหรียญ ถาดรับเหรียญทอน</t>
        </is>
      </c>
      <c r="E14" s="18" t="n">
        <v>1</v>
      </c>
      <c r="F14" s="18" t="inlineStr">
        <is>
          <t>งาน</t>
        </is>
      </c>
      <c r="G14" s="21" t="n">
        <v>600</v>
      </c>
      <c r="H14" s="21">
        <f>E14*G14</f>
        <v/>
      </c>
      <c r="I14" s="18" t="inlineStr">
        <is>
          <t>★★★★★</t>
        </is>
      </c>
      <c r="J14" s="18" t="n">
        <v>5</v>
      </c>
      <c r="K14" s="22" t="inlineStr">
        <is>
          <t>ต้องมี</t>
        </is>
      </c>
      <c r="L14" s="20" t="inlineStr">
        <is>
          <t>ร้านตัดเลเซอร์</t>
        </is>
      </c>
      <c r="M14" s="20" t="inlineStr">
        <is>
          <t>ช่องสอดแบงก์ต้องได้ขนาดพอดีกับหน้าเครื่อง ถ้าหลวมฝุ่นและน้ำจะเข้า ถ้าแคบแบงก์จะติด</t>
        </is>
      </c>
    </row>
    <row r="15" ht="24" customHeight="1">
      <c r="A15" s="29" t="inlineStr">
        <is>
          <t>รวมทั้งหมด</t>
        </is>
      </c>
      <c r="H15" s="30">
        <f>SUM(H4:H14)</f>
        <v/>
      </c>
      <c r="I15" s="31" t="n"/>
      <c r="J15" s="31" t="n"/>
      <c r="K15" s="31" t="n"/>
      <c r="L15" s="31" t="n"/>
      <c r="M15" s="31" t="n"/>
    </row>
    <row r="17" ht="26" customHeight="1">
      <c r="A17" s="32" t="inlineStr">
        <is>
          <t>เงินทอนที่ต้องเตรียมใส่เครื่อง  (ไม่ใช่ค่าใช้จ่าย เป็นเงินที่จมอยู่ในตู้ ได้คืนตอนเลิกใช้)</t>
        </is>
      </c>
    </row>
    <row r="18" ht="34" customHeight="1">
      <c r="A18" s="3" t="inlineStr"/>
      <c r="B18" s="3" t="inlineStr">
        <is>
          <t>ชนิดเหรียญ</t>
        </is>
      </c>
      <c r="C18" s="3" t="inlineStr">
        <is>
          <t>จำนวน (เหรียญ)</t>
        </is>
      </c>
      <c r="D18" s="3" t="inlineStr">
        <is>
          <t>มูลค่า (บาท)</t>
        </is>
      </c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>
        <is>
          <t>เติมบ่อยแค่ไหน</t>
        </is>
      </c>
    </row>
    <row r="19" ht="30" customHeight="1">
      <c r="A19" s="33" t="inlineStr"/>
      <c r="B19" s="33" t="inlineStr">
        <is>
          <t>เหรียญ 10 บาท</t>
        </is>
      </c>
      <c r="C19" s="34" t="n">
        <v>300</v>
      </c>
      <c r="D19" s="34">
        <f>C19*10</f>
        <v/>
      </c>
      <c r="E19" s="33" t="inlineStr"/>
      <c r="F19" s="33" t="inlineStr"/>
      <c r="G19" s="33" t="inlineStr"/>
      <c r="H19" s="33" t="inlineStr"/>
      <c r="I19" s="33" t="inlineStr"/>
      <c r="J19" s="33" t="inlineStr"/>
      <c r="K19" s="33" t="inlineStr"/>
      <c r="L19" s="33" t="inlineStr"/>
      <c r="M19" s="35" t="inlineStr">
        <is>
          <t>ใช้จริงประมาณ 7.5 เหรียญ/วัน ถ้าตู้รับงาน 60% เติมประมาณเดือนละครั้ง</t>
        </is>
      </c>
    </row>
    <row r="20" ht="30" customHeight="1">
      <c r="A20" s="33" t="inlineStr"/>
      <c r="B20" s="33" t="inlineStr">
        <is>
          <t>เหรียญ 5 บาท</t>
        </is>
      </c>
      <c r="C20" s="34" t="n">
        <v>200</v>
      </c>
      <c r="D20" s="34">
        <f>C20*5</f>
        <v/>
      </c>
      <c r="E20" s="33" t="inlineStr"/>
      <c r="F20" s="33" t="inlineStr"/>
      <c r="G20" s="33" t="inlineStr"/>
      <c r="H20" s="33" t="inlineStr"/>
      <c r="I20" s="33" t="inlineStr"/>
      <c r="J20" s="33" t="inlineStr"/>
      <c r="K20" s="33" t="inlineStr"/>
      <c r="L20" s="33" t="inlineStr"/>
      <c r="M20" s="35" t="inlineStr">
        <is>
          <t>ใช้จริงประมาณ 2.4 เหรียญ/วัน เติมประมาณ 3 เดือนครั้ง</t>
        </is>
      </c>
    </row>
    <row r="21">
      <c r="A21" s="36" t="n"/>
      <c r="B21" s="36" t="inlineStr">
        <is>
          <t>รวมเงินที่ต้องจมในตู้</t>
        </is>
      </c>
      <c r="C21" s="36" t="n"/>
      <c r="D21" s="37">
        <f>SUM(D19:D20)</f>
        <v/>
      </c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</row>
  </sheetData>
  <mergeCells count="4">
    <mergeCell ref="A2:M2"/>
    <mergeCell ref="A15:G15"/>
    <mergeCell ref="A1:M1"/>
    <mergeCell ref="A17:M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12" customWidth="1" min="3" max="3"/>
    <col width="84" customWidth="1" min="4" max="4"/>
  </cols>
  <sheetData>
    <row r="1" ht="26" customHeight="1">
      <c r="A1" s="17" t="inlineStr">
        <is>
          <t>ข้อมูลจริงจากระบบ  บิลรายวัน 870 ใบ  1 ส.ค. ถึง 10 ก.ย. 2569  (41 วันที่มีการขาย)</t>
        </is>
      </c>
    </row>
    <row r="2" ht="30" customHeight="1">
      <c r="A2" s="38" t="inlineStr">
        <is>
          <t>ตัวเลขทุกบรรทัดนับจากคอลเลกชัน dailyPayments ใน Firestore ของจริง ไม่ได้ประมาณเอา  ใช้ตัวเลขชุดนี้กำหนดว่าต้องซื้อเครื่องทอนกี่ตัว และต้องเตรียมเหรียญเท่าไหร่</t>
        </is>
      </c>
    </row>
    <row r="3" ht="34" customHeight="1">
      <c r="A3" s="3" t="inlineStr">
        <is>
          <t>หัวข้อ</t>
        </is>
      </c>
      <c r="B3" s="3" t="inlineStr">
        <is>
          <t>ตัวเลขจริง</t>
        </is>
      </c>
      <c r="C3" s="3" t="inlineStr">
        <is>
          <t>สัดส่วน</t>
        </is>
      </c>
      <c r="D3" s="3" t="inlineStr">
        <is>
          <t>แปลว่าอะไรกับการออกแบบตู้</t>
        </is>
      </c>
    </row>
    <row r="4" ht="44" customHeight="1">
      <c r="A4" s="39" t="inlineStr">
        <is>
          <t>ลูกค้าจ่ายเงินสด</t>
        </is>
      </c>
      <c r="B4" s="25" t="inlineStr">
        <is>
          <t>457 บิล  จาก 870 บิล</t>
        </is>
      </c>
      <c r="C4" s="23" t="inlineStr">
        <is>
          <t>52.5%</t>
        </is>
      </c>
      <c r="D4" s="25" t="inlineStr">
        <is>
          <t>เกินครึ่ง ถ้าตู้ไม่รับเงินสด จะใช้ได้กับลูกค้าแค่ครึ่งเดียว นี่คือเหตุผลที่ต้องใส่ระบบเงินสด</t>
        </is>
      </c>
    </row>
    <row r="5" ht="44" customHeight="1">
      <c r="A5" s="40" t="inlineStr">
        <is>
          <t>ลูกค้าโอนเงิน</t>
        </is>
      </c>
      <c r="B5" s="20" t="inlineStr">
        <is>
          <t>413 บิล</t>
        </is>
      </c>
      <c r="C5" s="18" t="inlineStr">
        <is>
          <t>47.5%</t>
        </is>
      </c>
      <c r="D5" s="20" t="inlineStr">
        <is>
          <t>ใช้ QR PromptPay ตามแผนเดิม</t>
        </is>
      </c>
    </row>
    <row r="6" ht="44" customHeight="1">
      <c r="A6" s="39" t="inlineStr">
        <is>
          <t>ยอดขายเงินสดเฉลี่ย</t>
        </is>
      </c>
      <c r="B6" s="25" t="inlineStr">
        <is>
          <t>1,057 บาท/วัน</t>
        </is>
      </c>
      <c r="C6" s="23" t="inlineStr">
        <is>
          <t>-</t>
        </is>
      </c>
      <c r="D6" s="25" t="inlineStr">
        <is>
          <t>ถ้าตู้รับงาน 60% จะมีเงินสดค้างในตู้ประมาณ 634 บาท/วัน เก็บทุก 2-3 วันก็พอ</t>
        </is>
      </c>
    </row>
    <row r="7" ht="44" customHeight="1">
      <c r="A7" s="40" t="inlineStr">
        <is>
          <t>ยอดบิลที่เจอบ่อยสุด</t>
        </is>
      </c>
      <c r="B7" s="20" t="inlineStr">
        <is>
          <t>75 บาท (280 บิล), 20 บาท (195), 10 บาท (105)</t>
        </is>
      </c>
      <c r="C7" s="18" t="inlineStr">
        <is>
          <t>-</t>
        </is>
      </c>
      <c r="D7" s="20" t="inlineStr">
        <is>
          <t>ค่าเข้ารายวันผู้ใหญ่ 75 บาท คือบิลหลัก ลูกค้ายื่นแบงก์ร้อยแล้วต้องทอน 25 บาท</t>
        </is>
      </c>
    </row>
    <row r="8" ht="44" customHeight="1">
      <c r="A8" s="39" t="inlineStr">
        <is>
          <t>ทอนเยอะสุดในบิลเดียว</t>
        </is>
      </c>
      <c r="B8" s="25" t="inlineStr">
        <is>
          <t>4 เหรียญ</t>
        </is>
      </c>
      <c r="C8" s="23" t="inlineStr">
        <is>
          <t>-</t>
        </is>
      </c>
      <c r="D8" s="25" t="inlineStr">
        <is>
          <t>กรณีนักเรียน 60 บาท จ่ายแบงก์ร้อย ทอน 40 บาท = เหรียญ 10 สี่เหรียญ ใช้เวลาทอนประมาณ 3 วินาที</t>
        </is>
      </c>
    </row>
    <row r="9" ht="44" customHeight="1">
      <c r="A9" s="40" t="inlineStr">
        <is>
          <t>เหรียญ 10 ที่ต้องใช้</t>
        </is>
      </c>
      <c r="B9" s="20" t="inlineStr">
        <is>
          <t>7.5 เหรียญ/วัน (ถ้าตู้รับ 60%)</t>
        </is>
      </c>
      <c r="C9" s="18" t="inlineStr">
        <is>
          <t>-</t>
        </is>
      </c>
      <c r="D9" s="20" t="inlineStr">
        <is>
          <t>ใส่ไว้ 300 เหรียญ อยู่ได้ประมาณ 40 วัน</t>
        </is>
      </c>
    </row>
    <row r="10" ht="44" customHeight="1">
      <c r="A10" s="39" t="inlineStr">
        <is>
          <t>เหรียญ 5 ที่ต้องใช้</t>
        </is>
      </c>
      <c r="B10" s="25" t="inlineStr">
        <is>
          <t>2.4 เหรียญ/วัน (ถ้าตู้รับ 60%)</t>
        </is>
      </c>
      <c r="C10" s="23" t="inlineStr">
        <is>
          <t>-</t>
        </is>
      </c>
      <c r="D10" s="25" t="inlineStr">
        <is>
          <t>ใส่ไว้ 200 เหรียญ อยู่ได้ประมาณ 85 วัน</t>
        </is>
      </c>
    </row>
    <row r="11" ht="44" customHeight="1">
      <c r="A11" s="40" t="inlineStr">
        <is>
          <t>บิลที่มีเศษสตางค์</t>
        </is>
      </c>
      <c r="B11" s="20" t="inlineStr">
        <is>
          <t>4 บิล (67.5 และ 87.5 บาท)</t>
        </is>
      </c>
      <c r="C11" s="18" t="inlineStr">
        <is>
          <t>0.5%</t>
        </is>
      </c>
      <c r="D11" s="20" t="inlineStr">
        <is>
          <t>เกิดจากส่วนลดเป็นเปอร์เซ็นต์ เครื่องทอนเหรียญทอน 0.50 บาทไม่ได้ ตู้ต้องปัดยอดเป็นหลัก 5 บาทเมื่อจ่ายเงินสด</t>
        </is>
      </c>
    </row>
    <row r="13" ht="26" customHeight="1">
      <c r="A13" s="41" t="inlineStr">
        <is>
          <t>ข้อสรุปการออกแบบที่มาจากตัวเลขข้างบน</t>
        </is>
      </c>
    </row>
    <row r="14" ht="46" customHeight="1">
      <c r="A14" s="42" t="inlineStr">
        <is>
          <t>รับแบงก์ 20 / 50 / 100 เท่านั้น</t>
        </is>
      </c>
      <c r="B14" s="16" t="inlineStr">
        <is>
          <t>ปิดรับแบงก์ 500 และ 1000 ในตัวเครื่อง  ถ้ารับแบงก์ 500 มาจ่ายค่าเข้า 75 บาท ต้องทอน 425 บาท = เหรียญ 10 จำนวน 43 เหรียญ ใช้เวลาทอนเกือบ 40 วินาที และเหรียญในเครื่องจะหมดในบิลเดียว</t>
        </is>
      </c>
    </row>
    <row r="15" ht="46" customHeight="1">
      <c r="A15" s="42" t="inlineStr">
        <is>
          <t>ต้องมีเครื่องทอน 2 ตัว (10 บาท และ 5 บาท)</t>
        </is>
      </c>
      <c r="B15" s="16" t="inlineStr">
        <is>
          <t>เครื่องทอน 1 ตัวจ่ายเหรียญได้ชนิดเดียว  ยอดที่เจอบ่อยคือทอน 25 บาท ซึ่งต้องใช้เหรียญ 10 สองเหรียญกับเหรียญ 5 หนึ่งเหรียญ ถ้ามีแค่เครื่องเดียวจะทอนไม่ได้</t>
        </is>
      </c>
    </row>
    <row r="16" ht="46" customHeight="1">
      <c r="A16" s="42" t="inlineStr">
        <is>
          <t>ปัดยอดเป็นหลัก 5 บาทเมื่อจ่ายเงินสด</t>
        </is>
      </c>
      <c r="B16" s="16" t="inlineStr">
        <is>
          <t>มี 4 บิลที่ยอดลงท้าย .50 บาท (67.50 และ 87.50) เกิดจากส่วนลดเป็นเปอร์เซ็นต์  เครื่องทอนเหรียญทอนสตางค์ไม่ได้ ต้องปัดลงให้ลูกค้าหรือบังคับให้จ่ายผ่าน QR สำหรับบิลแบบนี้</t>
        </is>
      </c>
    </row>
    <row r="17" ht="46" customHeight="1">
      <c r="A17" s="42" t="inlineStr">
        <is>
          <t>เก็บเงินทุก 2-3 วันพอ  เติมเหรียญเดือนละครั้ง</t>
        </is>
      </c>
      <c r="B17" s="16" t="inlineStr">
        <is>
          <t>เงินสดเข้าตู้ประมาณ 634 บาทต่อวัน (ถ้าตู้รับงาน 60%)  เหรียญ 10 หมดใน 40 วัน  เบากว่าที่ผมเตือนไว้ตอนแรกมาก ระบบเงินสดจึงไม่ได้ทำลายข้อดีเรื่องเปิด 24 ชั่วโมง</t>
        </is>
      </c>
    </row>
    <row r="18" ht="46" customHeight="1">
      <c r="A18" s="42" t="inlineStr">
        <is>
          <t>ต้องมีโหมด ทอนเงินไม่ได้</t>
        </is>
      </c>
      <c r="B18" s="16" t="inlineStr">
        <is>
          <t>ถ้าเหรียญเหลือน้อยกว่าที่ต้องทอน ตู้ต้องปิดปุ่มจ่ายเงินสดทันทีและขึ้นว่ารับเฉพาะ QR  ห้ามรับเงินไปแล้วทอนไม่ได้เด็ดขาด นี่คือบั๊กที่ทำให้ลูกค้าโกรธที่สุด</t>
        </is>
      </c>
    </row>
  </sheetData>
  <mergeCells count="8">
    <mergeCell ref="A1:D1"/>
    <mergeCell ref="B14:D14"/>
    <mergeCell ref="B16:D16"/>
    <mergeCell ref="B17:D17"/>
    <mergeCell ref="B18:D18"/>
    <mergeCell ref="A2:D2"/>
    <mergeCell ref="B15:D15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22" customWidth="1" min="3" max="3"/>
    <col width="12" customWidth="1" min="4" max="4"/>
    <col width="88" customWidth="1" min="5" max="5"/>
  </cols>
  <sheetData>
    <row r="1" ht="26" customHeight="1">
      <c r="A1" s="17" t="inlineStr">
        <is>
          <t>ของที่ตัดออก และเหตุผล  (ส่วนนี้สำคัญตอนนำเสนอ เพราะแสดงว่าเลือกของเป็น ไม่ได้ซื้อทุกอย่าง)</t>
        </is>
      </c>
    </row>
    <row r="2" ht="30" customHeight="1">
      <c r="A2" s="38" t="inlineStr">
        <is>
          <t>ตัด 4 รายการนี้ออกประหยัดไปประมาณ 95,900 บาท และตู้ยังทำงานได้ครบทุกอย่างที่ยิมต้องใช้จริง   หมายเหตุ: เดิมผมใส่เครื่องรับธนบัตรกับเครื่องทอนเหรียญไว้ในหน้านี้ด้วย แต่พอดูข้อมูลจริงพบว่าลูกค้าจ่ายเงินสด 52.5% จึงย้ายทั้งสองรายการไปเป็นเฟส 3 ที่ต้องทำจริง</t>
        </is>
      </c>
    </row>
    <row r="3" ht="34" customHeight="1">
      <c r="A3" s="3" t="inlineStr">
        <is>
          <t>รายการ</t>
        </is>
      </c>
      <c r="B3" s="3" t="inlineStr">
        <is>
          <t>สเปก</t>
        </is>
      </c>
      <c r="C3" s="3" t="inlineStr">
        <is>
          <t>ราคาที่จะประหยัดได้ (บาท)</t>
        </is>
      </c>
      <c r="D3" s="3" t="inlineStr">
        <is>
          <t>ความคุ้มค่า</t>
        </is>
      </c>
      <c r="E3" s="3" t="inlineStr">
        <is>
          <t>เหตุผลที่ยังไม่ควรซื้อ</t>
        </is>
      </c>
    </row>
    <row r="4" ht="52" customHeight="1">
      <c r="A4" s="43" t="inlineStr">
        <is>
          <t>เครื่องรูดบัตร EDC</t>
        </is>
      </c>
      <c r="B4" s="44" t="inlineStr">
        <is>
          <t>เครื่องรูดบัตรเครดิต/เดบิต</t>
        </is>
      </c>
      <c r="C4" s="45" t="inlineStr">
        <is>
          <t>ซื้อไม่ได้ / ไม่ต้องซื้อ</t>
        </is>
      </c>
      <c r="D4" s="46" t="inlineStr">
        <is>
          <t>-</t>
        </is>
      </c>
      <c r="E4" s="44" t="inlineStr">
        <is>
          <t>ซื้อมาต่อเองไม่ได้ ต้องทำสัญญาร้านค้ากับธนาคาร มีค่าธรรมเนียมต่อรายการ 1.5-3% และมักมีค่าเช่าเครื่องรายเดือน ถ้าอยากรับบัตรจริงให้ใช้ Payment Gateway ผ่านหน้าเว็บแทน</t>
        </is>
      </c>
    </row>
    <row r="5" ht="52" customHeight="1">
      <c r="A5" s="43" t="inlineStr">
        <is>
          <t>จอ 32 นิ้วขึ้นไป</t>
        </is>
      </c>
      <c r="B5" s="44" t="inlineStr">
        <is>
          <t>จอสัมผัสขนาดใหญ่</t>
        </is>
      </c>
      <c r="C5" s="47" t="n">
        <v>12000</v>
      </c>
      <c r="D5" s="46" t="inlineStr">
        <is>
          <t>★★☆☆☆</t>
        </is>
      </c>
      <c r="E5" s="44" t="inlineStr">
        <is>
          <t>ใหญ่เกินความจำเป็นสำหรับเมนู 3 ปุ่ม ทำให้ตู้ต้องกว้างขึ้น เปลืองเหล็ก เปลืองไฟ และปุ่มบนสุดจะสูงเกินเอื้อม</t>
        </is>
      </c>
    </row>
    <row r="6" ht="52" customHeight="1">
      <c r="A6" s="43" t="inlineStr">
        <is>
          <t>หุ่นยนต์เคลื่อนที่</t>
        </is>
      </c>
      <c r="B6" s="44" t="inlineStr">
        <is>
          <t>หุ่นบริการแบบมีล้อ</t>
        </is>
      </c>
      <c r="C6" s="47" t="n">
        <v>80000</v>
      </c>
      <c r="D6" s="46" t="inlineStr">
        <is>
          <t>★☆☆☆☆</t>
        </is>
      </c>
      <c r="E6" s="44" t="inlineStr">
        <is>
          <t>ราคาสูงกว่าทั้งโครงการหลายเท่าและไม่ช่วยอะไร ลูกค้าต้องเดินมาที่จุดเช็คอินอยู่แล้ว ตู้ยืนนิ่งตรงประตูตอบโจทย์กว่า</t>
        </is>
      </c>
    </row>
    <row r="7" ht="52" customHeight="1">
      <c r="A7" s="43" t="inlineStr">
        <is>
          <t>เครื่องสแกนลายนิ้วมือใหม่</t>
        </is>
      </c>
      <c r="B7" s="44" t="inlineStr">
        <is>
          <t>ZKTeco หรือเทียบเท่า</t>
        </is>
      </c>
      <c r="C7" s="47" t="n">
        <v>3900</v>
      </c>
      <c r="D7" s="46" t="inlineStr">
        <is>
          <t>-</t>
        </is>
      </c>
      <c r="E7" s="44" t="inlineStr">
        <is>
          <t>ไม่ต้องซื้อ ยิมมีอยู่แล้วและระบบรองรับผ่าน fingerprintWebhook ย้ายเครื่องเดิมมาติดที่ตู้ได้เลย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26" customWidth="1" min="3" max="3"/>
    <col width="14" customWidth="1" min="4" max="4"/>
    <col width="10" customWidth="1" min="5" max="5"/>
    <col width="16" customWidth="1" min="6" max="6"/>
    <col width="62" customWidth="1" min="7" max="7"/>
  </cols>
  <sheetData>
    <row r="1" ht="26" customHeight="1">
      <c r="A1" s="17" t="inlineStr">
        <is>
          <t>โครงตู้  กว้าง 450 x ลึก 450 x สูง 1,650 มม.  น้ำหนักรวมประมาณ 58 กก. (รวมเงินและเครื่องทอน)</t>
        </is>
      </c>
    </row>
    <row r="2" ht="30" customHeight="1">
      <c r="A2" s="2" t="inlineStr">
        <is>
          <t>ระดับความสูงที่ใช้จริง: กึ่งกลางจอ 1,150mm (เอียง 12 องศา) / ช่องสแกน 850mm / ช่องใบเสร็จ 700mm / ช่องสอดแบงก์ 620mm / ช่องหยอดเหรียญ 620mm / ถาดรับเหรียญทอน 480mm / จอหน้า 1,480mm   ตู้ขยายจาก 400x350 เป็น 450x450 เพราะเครื่องทอนเหรียญ 2 ตัววางเรียงกันกว้าง 300mm และกล่องเก็บแบงก์ลึก 250mm   ข้อควรระวัง: จอแนวตั้ง 21.5 นิ้ว ขอบบนจะสูงประมาณ 1,390mm ซึ่งเกินระยะเอื้อมของผู้ใช้รถเข็น (1,200mm) ให้ออกแบบหน้าเว็บโดยวางปุ่มสำคัญไว้ครึ่งล่างของจอทั้งหมด</t>
        </is>
      </c>
    </row>
    <row r="3" ht="34" customHeight="1">
      <c r="A3" s="3" t="inlineStr">
        <is>
          <t>รหัส</t>
        </is>
      </c>
      <c r="B3" s="3" t="inlineStr">
        <is>
          <t>ชิ้นส่วน</t>
        </is>
      </c>
      <c r="C3" s="3" t="inlineStr">
        <is>
          <t>วัสดุ</t>
        </is>
      </c>
      <c r="D3" s="3" t="inlineStr">
        <is>
          <t>ความยาว (มม.)</t>
        </is>
      </c>
      <c r="E3" s="3" t="inlineStr">
        <is>
          <t>จำนวน</t>
        </is>
      </c>
      <c r="F3" s="3" t="inlineStr">
        <is>
          <t>ความยาวรวม (มม.)</t>
        </is>
      </c>
      <c r="G3" s="3" t="inlineStr">
        <is>
          <t>หมายเหตุ</t>
        </is>
      </c>
    </row>
    <row r="4" ht="30" customHeight="1">
      <c r="A4" s="48" t="inlineStr">
        <is>
          <t>A</t>
        </is>
      </c>
      <c r="B4" s="49" t="inlineStr">
        <is>
          <t>เสาตั้ง 4 มุม</t>
        </is>
      </c>
      <c r="C4" s="49" t="inlineStr">
        <is>
          <t>เหล็กกล่อง 25x25x1.2</t>
        </is>
      </c>
      <c r="D4" s="50" t="n">
        <v>1650</v>
      </c>
      <c r="E4" s="50" t="n">
        <v>4</v>
      </c>
      <c r="F4" s="50">
        <f>D4*E4</f>
        <v/>
      </c>
      <c r="G4" s="51" t="inlineStr">
        <is>
          <t>ตัดฉาก 90 องศา เชื่อมเต็มแนว</t>
        </is>
      </c>
    </row>
    <row r="5" ht="30" customHeight="1">
      <c r="A5" s="52" t="inlineStr">
        <is>
          <t>B</t>
        </is>
      </c>
      <c r="B5" s="33" t="inlineStr">
        <is>
          <t>คานด้านกว้าง (หน้า-หลัง)</t>
        </is>
      </c>
      <c r="C5" s="33" t="inlineStr">
        <is>
          <t>เหล็กกล่อง 25x25x1.2</t>
        </is>
      </c>
      <c r="D5" s="53" t="n">
        <v>400</v>
      </c>
      <c r="E5" s="53" t="n">
        <v>10</v>
      </c>
      <c r="F5" s="53">
        <f>D5*E5</f>
        <v/>
      </c>
      <c r="G5" s="35" t="inlineStr">
        <is>
          <t>5 ระดับ x 2 ฝั่ง = 450 - 25 - 25</t>
        </is>
      </c>
    </row>
    <row r="6" ht="30" customHeight="1">
      <c r="A6" s="48" t="inlineStr">
        <is>
          <t>C</t>
        </is>
      </c>
      <c r="B6" s="49" t="inlineStr">
        <is>
          <t>คานด้านลึก (ซ้าย-ขวา)</t>
        </is>
      </c>
      <c r="C6" s="49" t="inlineStr">
        <is>
          <t>เหล็กกล่อง 25x25x1.2</t>
        </is>
      </c>
      <c r="D6" s="50" t="n">
        <v>400</v>
      </c>
      <c r="E6" s="50" t="n">
        <v>10</v>
      </c>
      <c r="F6" s="50">
        <f>D6*E6</f>
        <v/>
      </c>
      <c r="G6" s="51" t="inlineStr">
        <is>
          <t>5 ระดับ x 2 ฝั่ง = 450 - 25 - 25</t>
        </is>
      </c>
    </row>
    <row r="7" ht="30" customHeight="1">
      <c r="A7" s="52" t="inlineStr">
        <is>
          <t>D</t>
        </is>
      </c>
      <c r="B7" s="33" t="inlineStr">
        <is>
          <t>ค้ำทแยงกันบิด</t>
        </is>
      </c>
      <c r="C7" s="33" t="inlineStr">
        <is>
          <t>เหล็กกล่อง 25x25x1.2</t>
        </is>
      </c>
      <c r="D7" s="53" t="n">
        <v>450</v>
      </c>
      <c r="E7" s="53" t="n">
        <v>4</v>
      </c>
      <c r="F7" s="53">
        <f>D7*E7</f>
        <v/>
      </c>
      <c r="G7" s="35" t="inlineStr">
        <is>
          <t>ตัดปลาย 45 องศา ใส่ที่ด้านหลังและด้านข้าง</t>
        </is>
      </c>
    </row>
    <row r="8" ht="30" customHeight="1">
      <c r="A8" s="48" t="inlineStr">
        <is>
          <t>E</t>
        </is>
      </c>
      <c r="B8" s="49" t="inlineStr">
        <is>
          <t>กรอบรับจอ (เอียง 12 องศา)</t>
        </is>
      </c>
      <c r="C8" s="49" t="inlineStr">
        <is>
          <t>เหล็กกล่อง 25x25x1.2</t>
        </is>
      </c>
      <c r="D8" s="50" t="n">
        <v>400</v>
      </c>
      <c r="E8" s="50" t="n">
        <v>2</v>
      </c>
      <c r="F8" s="50">
        <f>D8*E8</f>
        <v/>
      </c>
      <c r="G8" s="51" t="inlineStr">
        <is>
          <t>เชื่อมแผ่นยึด VESA 100 ตรงกลาง</t>
        </is>
      </c>
    </row>
    <row r="9" ht="30" customHeight="1">
      <c r="A9" s="52" t="inlineStr">
        <is>
          <t>E</t>
        </is>
      </c>
      <c r="B9" s="33" t="inlineStr">
        <is>
          <t>กรอบรับจอ (เอียง 12 องศา)</t>
        </is>
      </c>
      <c r="C9" s="33" t="inlineStr">
        <is>
          <t>เหล็กกล่อง 25x25x1.2</t>
        </is>
      </c>
      <c r="D9" s="53" t="n">
        <v>400</v>
      </c>
      <c r="E9" s="53" t="n">
        <v>2</v>
      </c>
      <c r="F9" s="53">
        <f>D9*E9</f>
        <v/>
      </c>
      <c r="G9" s="35" t="inlineStr">
        <is>
          <t>คู่กับ E ด้านบน</t>
        </is>
      </c>
    </row>
    <row r="10" ht="30" customHeight="1">
      <c r="A10" s="48" t="inlineStr">
        <is>
          <t>G</t>
        </is>
      </c>
      <c r="B10" s="49" t="inlineStr">
        <is>
          <t>คานรับเครื่องทอนเหรียญ</t>
        </is>
      </c>
      <c r="C10" s="49" t="inlineStr">
        <is>
          <t>เหล็กกล่อง 25x25x1.2</t>
        </is>
      </c>
      <c r="D10" s="50" t="n">
        <v>400</v>
      </c>
      <c r="E10" s="50" t="n">
        <v>4</v>
      </c>
      <c r="F10" s="50">
        <f>D10*E10</f>
        <v/>
      </c>
      <c r="G10" s="51" t="inlineStr">
        <is>
          <t>รับน้ำหนักเหรียญเต็มถัง ประมาณ 4 กก. ต่อเครื่อง</t>
        </is>
      </c>
    </row>
    <row r="11" ht="30" customHeight="1">
      <c r="A11" s="52" t="inlineStr">
        <is>
          <t>F</t>
        </is>
      </c>
      <c r="B11" s="33" t="inlineStr">
        <is>
          <t>ฐานด้านกว้าง</t>
        </is>
      </c>
      <c r="C11" s="33" t="inlineStr">
        <is>
          <t>เหล็กกล่อง 38x38x1.5</t>
        </is>
      </c>
      <c r="D11" s="53" t="n">
        <v>450</v>
      </c>
      <c r="E11" s="53" t="n">
        <v>2</v>
      </c>
      <c r="F11" s="53">
        <f>D11*E11</f>
        <v/>
      </c>
      <c r="G11" s="35" t="inlineStr">
        <is>
          <t>หนากว่าตัวตู้เพื่อรับน้ำหนัก</t>
        </is>
      </c>
    </row>
    <row r="12" ht="30" customHeight="1">
      <c r="A12" s="48" t="inlineStr">
        <is>
          <t>F</t>
        </is>
      </c>
      <c r="B12" s="49" t="inlineStr">
        <is>
          <t>ฐานด้านลึก</t>
        </is>
      </c>
      <c r="C12" s="49" t="inlineStr">
        <is>
          <t>เหล็กกล่อง 38x38x1.5</t>
        </is>
      </c>
      <c r="D12" s="50" t="n">
        <v>374</v>
      </c>
      <c r="E12" s="50" t="n">
        <v>2</v>
      </c>
      <c r="F12" s="50">
        <f>D12*E12</f>
        <v/>
      </c>
      <c r="G12" s="51" t="inlineStr">
        <is>
          <t>450 - 38 - 38</t>
        </is>
      </c>
    </row>
    <row r="14" ht="26" customHeight="1">
      <c r="A14" s="41" t="inlineStr">
        <is>
          <t>สรุปเหล็กที่ต้องซื้อ</t>
        </is>
      </c>
    </row>
    <row r="15">
      <c r="B15" s="54" t="inlineStr">
        <is>
          <t>เหล็กกล่อง 25x25x1.2  ใช้จริง</t>
        </is>
      </c>
      <c r="D15" s="55" t="inlineStr">
        <is>
          <t>19.6 เมตร</t>
        </is>
      </c>
    </row>
    <row r="16">
      <c r="B16" s="54" t="inlineStr">
        <is>
          <t>เหล็กกล่อง 25x25x1.2  ต้องซื้อ (เผื่อตัดเสีย)</t>
        </is>
      </c>
      <c r="D16" s="55" t="inlineStr">
        <is>
          <t>5 ท่อน = 30 เมตร</t>
        </is>
      </c>
    </row>
    <row r="17">
      <c r="B17" s="54" t="inlineStr">
        <is>
          <t>เหล็กกล่อง 38x38x1.5  ใช้จริง</t>
        </is>
      </c>
      <c r="D17" s="55" t="inlineStr">
        <is>
          <t>1.65 เมตร</t>
        </is>
      </c>
    </row>
    <row r="18">
      <c r="B18" s="54" t="inlineStr">
        <is>
          <t>เหล็กกล่อง 38x38x1.5  ต้องซื้อ</t>
        </is>
      </c>
      <c r="D18" s="55" t="inlineStr">
        <is>
          <t>1 ท่อน = 6 เมตร</t>
        </is>
      </c>
    </row>
    <row r="20" ht="26" customHeight="1">
      <c r="A20" s="32" t="inlineStr">
        <is>
          <t>แผ่นเหล็กปิดตู้  หนา 1.2mm  (ใช้ 3 แผ่น ขนาด 4x8 ฟุต)</t>
        </is>
      </c>
    </row>
    <row r="21" ht="34" customHeight="1">
      <c r="A21" s="3" t="inlineStr"/>
      <c r="B21" s="3" t="inlineStr">
        <is>
          <t>แผ่น</t>
        </is>
      </c>
      <c r="C21" s="3" t="inlineStr">
        <is>
          <t>กว้าง (มม.)</t>
        </is>
      </c>
      <c r="D21" s="3" t="inlineStr">
        <is>
          <t>สูง (มม.)</t>
        </is>
      </c>
      <c r="E21" s="3" t="inlineStr"/>
      <c r="F21" s="3" t="inlineStr"/>
      <c r="G21" s="3" t="inlineStr">
        <is>
          <t>งานที่ต้องทำ</t>
        </is>
      </c>
    </row>
    <row r="22" ht="34" customHeight="1">
      <c r="A22" s="33" t="inlineStr"/>
      <c r="B22" s="33" t="inlineStr">
        <is>
          <t>แผ่นหน้า</t>
        </is>
      </c>
      <c r="C22" s="53" t="n">
        <v>450</v>
      </c>
      <c r="D22" s="53" t="n">
        <v>1650</v>
      </c>
      <c r="E22" s="33" t="inlineStr"/>
      <c r="F22" s="33" t="inlineStr"/>
      <c r="G22" s="35" t="inlineStr">
        <is>
          <t>ตัดเลเซอร์: ช่องจอ 270x480 / ช่องสแกน 70x50 / ช่องพิมพ์ 85x20 / ช่องลำโพง / ช่องจอหน้า 165x100 / ช่องสอดแบงก์ 80x25 / ช่องหยอดเหรียญ 40x35 / ถาดรับเหรียญทอน 140x90</t>
        </is>
      </c>
    </row>
    <row r="23" ht="34" customHeight="1">
      <c r="A23" s="33" t="inlineStr"/>
      <c r="B23" s="33" t="inlineStr">
        <is>
          <t>แผ่นข้างซ้าย</t>
        </is>
      </c>
      <c r="C23" s="53" t="n">
        <v>450</v>
      </c>
      <c r="D23" s="53" t="n">
        <v>1650</v>
      </c>
      <c r="E23" s="33" t="inlineStr"/>
      <c r="F23" s="33" t="inlineStr"/>
      <c r="G23" s="35" t="inlineStr">
        <is>
          <t>เจาะช่องลมเข้าด้านล่าง 100x40 พร้อมฟิลเตอร์</t>
        </is>
      </c>
    </row>
    <row r="24" ht="34" customHeight="1">
      <c r="A24" s="33" t="inlineStr"/>
      <c r="B24" s="33" t="inlineStr">
        <is>
          <t>แผ่นข้างขวา</t>
        </is>
      </c>
      <c r="C24" s="53" t="n">
        <v>450</v>
      </c>
      <c r="D24" s="53" t="n">
        <v>1650</v>
      </c>
      <c r="E24" s="33" t="inlineStr"/>
      <c r="F24" s="33" t="inlineStr"/>
      <c r="G24" s="35" t="inlineStr">
        <is>
          <t>เจาะช่องลมออกด้านบน 100x40 พร้อมพัดลม</t>
        </is>
      </c>
    </row>
    <row r="25" ht="34" customHeight="1">
      <c r="A25" s="33" t="inlineStr"/>
      <c r="B25" s="33" t="inlineStr">
        <is>
          <t>ประตูหลัง</t>
        </is>
      </c>
      <c r="C25" s="53" t="n">
        <v>450</v>
      </c>
      <c r="D25" s="53" t="n">
        <v>1300</v>
      </c>
      <c r="E25" s="33" t="inlineStr"/>
      <c r="F25" s="33" t="inlineStr"/>
      <c r="G25" s="35" t="inlineStr">
        <is>
          <t>พับขอบ 15mm ติดบานพับ 2 จุด + กุญแจตู้</t>
        </is>
      </c>
    </row>
    <row r="26" ht="34" customHeight="1">
      <c r="A26" s="33" t="inlineStr"/>
      <c r="B26" s="33" t="inlineStr">
        <is>
          <t>แผ่นบน</t>
        </is>
      </c>
      <c r="C26" s="53" t="n">
        <v>450</v>
      </c>
      <c r="D26" s="53" t="n">
        <v>450</v>
      </c>
      <c r="E26" s="33" t="inlineStr"/>
      <c r="F26" s="33" t="inlineStr"/>
      <c r="G26" s="35" t="inlineStr">
        <is>
          <t>พับขอบลง 20mm กันฝุ่นตกและกันคนวางของ</t>
        </is>
      </c>
    </row>
    <row r="27" ht="34" customHeight="1">
      <c r="A27" s="33" t="inlineStr"/>
      <c r="B27" s="33" t="inlineStr">
        <is>
          <t>แผ่นปิดฐาน</t>
        </is>
      </c>
      <c r="C27" s="53" t="n">
        <v>450</v>
      </c>
      <c r="D27" s="53" t="n">
        <v>450</v>
      </c>
      <c r="E27" s="33" t="inlineStr"/>
      <c r="F27" s="33" t="inlineStr"/>
      <c r="G27" s="35" t="inlineStr">
        <is>
          <t>เจาะรูร้อยสายไฟ + cable gland + รูพุกยึดพื้น 4 จุด</t>
        </is>
      </c>
    </row>
    <row r="28" ht="34" customHeight="1">
      <c r="A28" s="33" t="inlineStr"/>
      <c r="B28" s="33" t="inlineStr">
        <is>
          <t>ผนังกั้นห้องเงิน</t>
        </is>
      </c>
      <c r="C28" s="53" t="n">
        <v>450</v>
      </c>
      <c r="D28" s="53" t="n">
        <v>500</v>
      </c>
      <c r="E28" s="33" t="inlineStr"/>
      <c r="F28" s="33" t="inlineStr"/>
      <c r="G28" s="35" t="inlineStr">
        <is>
          <t>กั้นส่วนล่างที่มีเงินออกจากส่วนบนที่มีคอมพิวเตอร์ ล็อกแยกกัน</t>
        </is>
      </c>
    </row>
  </sheetData>
  <mergeCells count="4">
    <mergeCell ref="A20:G20"/>
    <mergeCell ref="A14:G14"/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78" customWidth="1" min="7" max="7"/>
  </cols>
  <sheetData>
    <row r="1" ht="26" customHeight="1">
      <c r="A1" s="17" t="inlineStr">
        <is>
          <t>ทำเองดี หรือซื้อสำเร็จรูปดี</t>
        </is>
      </c>
    </row>
    <row r="2" ht="30" customHeight="1">
      <c r="A2" s="2" t="inlineStr">
        <is>
          <t>คะแนนเต็ม 5  ความโปร = หน้าตาตอนตั้งจริง  ยืดหยุ่น = แก้/ต่อยอดได้แค่ไหน  คุ้มค่า = เทียบกับเป้าหมายของโครงการนี้</t>
        </is>
      </c>
    </row>
    <row r="3" ht="34" customHeight="1">
      <c r="A3" s="3" t="inlineStr">
        <is>
          <t>ทางเลือก</t>
        </is>
      </c>
      <c r="B3" s="3" t="inlineStr">
        <is>
          <t>ราคา (บาท)</t>
        </is>
      </c>
      <c r="C3" s="3" t="inlineStr">
        <is>
          <t>เวลาที่ใช้</t>
        </is>
      </c>
      <c r="D3" s="3" t="inlineStr">
        <is>
          <t>ความโปร</t>
        </is>
      </c>
      <c r="E3" s="3" t="inlineStr">
        <is>
          <t>ยืดหยุ่น</t>
        </is>
      </c>
      <c r="F3" s="3" t="inlineStr">
        <is>
          <t>คุ้มค่า</t>
        </is>
      </c>
      <c r="G3" s="3" t="inlineStr">
        <is>
          <t>ความเห็น</t>
        </is>
      </c>
    </row>
    <row r="4" ht="56" customHeight="1">
      <c r="A4" s="33" t="inlineStr">
        <is>
          <t>A. แท็บเล็ต + ขาตั้ง</t>
        </is>
      </c>
      <c r="B4" s="56" t="n">
        <v>9000</v>
      </c>
      <c r="C4" s="52" t="inlineStr">
        <is>
          <t>2 วัน</t>
        </is>
      </c>
      <c r="D4" s="52" t="inlineStr">
        <is>
          <t>★★☆☆☆</t>
        </is>
      </c>
      <c r="E4" s="52" t="inlineStr">
        <is>
          <t>★★★☆☆</t>
        </is>
      </c>
      <c r="F4" s="52" t="inlineStr">
        <is>
          <t>★★★☆☆</t>
        </is>
      </c>
      <c r="G4" s="35" t="inlineStr">
        <is>
          <t>ถูกและเร็วที่สุด แต่ไม่มีที่พิมพ์ใบเสร็จ ไม่มีที่สแกน และดูเหมือนเอาแท็บเล็ตมาวางไว้เฉย ๆ</t>
        </is>
      </c>
    </row>
    <row r="5" ht="56" customHeight="1">
      <c r="A5" s="57" t="inlineStr">
        <is>
          <t>B. ต่อเอง (แนะนำ)</t>
        </is>
      </c>
      <c r="B5" s="58" t="n">
        <v>56860</v>
      </c>
      <c r="C5" s="59" t="inlineStr">
        <is>
          <t>5-6 สัปดาห์</t>
        </is>
      </c>
      <c r="D5" s="59" t="inlineStr">
        <is>
          <t>★★★★☆</t>
        </is>
      </c>
      <c r="E5" s="59" t="inlineStr">
        <is>
          <t>★★★★★</t>
        </is>
      </c>
      <c r="F5" s="59" t="inlineStr">
        <is>
          <t>★★★★★</t>
        </is>
      </c>
      <c r="G5" s="60" t="inlineStr">
        <is>
          <t>รวมระบบรับเงินสดและทอนเงินแล้ว ควบคุมได้ทุกอย่าง ต่อเข้าระบบยิมที่มีอยู่ได้ตรง ๆ และเป็นทางเดียวในตารางนี้ที่รับเงินสดได้</t>
        </is>
      </c>
    </row>
    <row r="6" ht="56" customHeight="1">
      <c r="A6" s="33" t="inlineStr">
        <is>
          <t>C. เครื่อง POS สำเร็จรูป Sunmi/iMin + ขาตั้ง</t>
        </is>
      </c>
      <c r="B6" s="56" t="n">
        <v>28000</v>
      </c>
      <c r="C6" s="52" t="inlineStr">
        <is>
          <t>3 วัน</t>
        </is>
      </c>
      <c r="D6" s="52" t="inlineStr">
        <is>
          <t>★★★☆☆</t>
        </is>
      </c>
      <c r="E6" s="52" t="inlineStr">
        <is>
          <t>★★☆☆☆</t>
        </is>
      </c>
      <c r="F6" s="52" t="inlineStr">
        <is>
          <t>★★★☆☆</t>
        </is>
      </c>
      <c r="G6" s="35" t="inlineStr">
        <is>
          <t>ได้จอ เครื่องพิมพ์ และเครื่องสแกนในเครื่องเดียว ประกอบเสร็จเร็ว แต่ต่อเครื่องรับธนบัตรและเครื่องทอนเหรียญไม่ได้ จึงใช้ได้กับลูกค้าแค่ 47.5% ที่โอนเงิน</t>
        </is>
      </c>
    </row>
    <row r="7" ht="56" customHeight="1">
      <c r="A7" s="33" t="inlineStr">
        <is>
          <t>D. ตู้ Kiosk สำเร็จรูปนำเข้า</t>
        </is>
      </c>
      <c r="B7" s="56" t="n">
        <v>120000</v>
      </c>
      <c r="C7" s="52" t="inlineStr">
        <is>
          <t>6-8 สัปดาห์</t>
        </is>
      </c>
      <c r="D7" s="52" t="inlineStr">
        <is>
          <t>★★★★★</t>
        </is>
      </c>
      <c r="E7" s="52" t="inlineStr">
        <is>
          <t>★☆☆☆☆</t>
        </is>
      </c>
      <c r="F7" s="52" t="inlineStr">
        <is>
          <t>★★☆☆☆</t>
        </is>
      </c>
      <c r="G7" s="35" t="inlineStr">
        <is>
          <t>สวยที่สุดแต่แพงกว่าทั้งโครงการ 4 เท่า รอของนาน และยังต้องเขียนซอฟต์แวร์เองอยู่ดี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52" customWidth="1" min="2" max="2"/>
    <col width="20" customWidth="1" min="3" max="3"/>
    <col width="70" customWidth="1" min="4" max="4"/>
  </cols>
  <sheetData>
    <row r="1" ht="26" customHeight="1">
      <c r="A1" s="17" t="inlineStr">
        <is>
          <t>ค่าใช้จ่ายหลังตู้เปิดใช้งานแล้ว</t>
        </is>
      </c>
    </row>
    <row r="3" ht="34" customHeight="1">
      <c r="A3" s="3" t="inlineStr">
        <is>
          <t>รายการ</t>
        </is>
      </c>
      <c r="B3" s="3" t="inlineStr">
        <is>
          <t>คิดจาก</t>
        </is>
      </c>
      <c r="C3" s="3" t="inlineStr">
        <is>
          <t>บาท/เดือน</t>
        </is>
      </c>
      <c r="D3" s="3" t="inlineStr">
        <is>
          <t>หมายเหตุ</t>
        </is>
      </c>
    </row>
    <row r="4" ht="34" customHeight="1">
      <c r="A4" s="61" t="inlineStr">
        <is>
          <t>ค่าไฟ</t>
        </is>
      </c>
      <c r="B4" s="62" t="inlineStr">
        <is>
          <t>ประมาณ 90W เปิด 24 ชม. = 65 หน่วยต่อเดือน x 4.2 บาท</t>
        </is>
      </c>
      <c r="C4" s="26" t="n">
        <v>273</v>
      </c>
      <c r="D4" s="62" t="inlineStr">
        <is>
          <t>ถ้าใส่เซนเซอร์ตรวจคนให้จอดับตอนไม่มีคน จะลดเหลือประมาณ 180 บาท</t>
        </is>
      </c>
    </row>
    <row r="5" ht="34" customHeight="1">
      <c r="A5" s="63" t="inlineStr">
        <is>
          <t>กระดาษใบเสร็จ</t>
        </is>
      </c>
      <c r="B5" s="64" t="inlineStr">
        <is>
          <t>ประมาณ 1.5 ม้วนต่อเดือน</t>
        </is>
      </c>
      <c r="C5" s="21" t="n">
        <v>120</v>
      </c>
      <c r="D5" s="64" t="inlineStr">
        <is>
          <t>ซื้อยกลังทีเดียวจะถูกลงอีก</t>
        </is>
      </c>
    </row>
    <row r="6" ht="34" customHeight="1">
      <c r="A6" s="61" t="inlineStr">
        <is>
          <t>Firebase Blaze</t>
        </is>
      </c>
      <c r="B6" s="62" t="inlineStr">
        <is>
          <t>ยิมจ่ายอยู่แล้ว ตู้เพิ่มโหลดเล็กน้อย</t>
        </is>
      </c>
      <c r="C6" s="26" t="n">
        <v>100</v>
      </c>
      <c r="D6" s="62" t="inlineStr">
        <is>
          <t>ค่าใช้จ่ายส่วนเพิ่มจากตู้เท่านั้น</t>
        </is>
      </c>
    </row>
    <row r="7" ht="34" customHeight="1">
      <c r="A7" s="63" t="inlineStr">
        <is>
          <t>ซิม 4G สำรอง (ถ้าใช้)</t>
        </is>
      </c>
      <c r="B7" s="64" t="inlineStr">
        <is>
          <t>แพ็กเกจรายเดือนขั้นต่ำ</t>
        </is>
      </c>
      <c r="C7" s="21" t="n">
        <v>200</v>
      </c>
      <c r="D7" s="64" t="inlineStr">
        <is>
          <t>เฟส 2 เท่านั้น ตัดออกได้ถ้าเน็ตยิมนิ่ง</t>
        </is>
      </c>
    </row>
    <row r="8" ht="34" customHeight="1">
      <c r="A8" s="61" t="inlineStr">
        <is>
          <t>บริการตรวจสลิปโอนเงิน (ถ้าใช้)</t>
        </is>
      </c>
      <c r="B8" s="62" t="inlineStr">
        <is>
          <t>SlipOK / EasySlip แพ็กเริ่มต้น</t>
        </is>
      </c>
      <c r="C8" s="26" t="n">
        <v>350</v>
      </c>
      <c r="D8" s="62" t="inlineStr">
        <is>
          <t>จ่ายก็ต่อเมื่อต้องการให้ตู้ยืนยันเงินเข้าเองโดยไม่ต้องรอพนักงาน</t>
        </is>
      </c>
    </row>
    <row r="9">
      <c r="A9" s="65" t="inlineStr">
        <is>
          <t>รวมสูงสุดต่อเดือน</t>
        </is>
      </c>
      <c r="C9" s="37">
        <f>SUM(C4:C8)</f>
        <v/>
      </c>
      <c r="D9" s="31" t="n"/>
    </row>
    <row r="11" ht="30" customHeight="1">
      <c r="A11" s="38" t="inlineStr">
        <is>
          <t>ถ้าไม่ใช้ซิม 4G สำรองและไม่ใช้บริการตรวจสลิป ค่าใช้จ่ายจะเหลือประมาณ 490 บาทต่อเดือน</t>
        </is>
      </c>
    </row>
  </sheetData>
  <mergeCells count="3">
    <mergeCell ref="A9:B9"/>
    <mergeCell ref="A1:D1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2026-09-10T09:34:39Z</dcterms:created>
  <dcterms:modified xmlns:dcterms="http://purl.org/dc/terms/" xmlns:xsi="http://www.w3.org/2001/XMLSchema-instance" xsi:type="dcterms:W3CDTF">2026-09-10T09:34:39Z</dcterms:modified>
</cp:coreProperties>
</file>